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01" sheetId="1" r:id="rId5"/>
    <sheet state="visible" name="P02" sheetId="2" r:id="rId6"/>
    <sheet state="visible" name="P03" sheetId="3" r:id="rId7"/>
    <sheet state="visible" name="P04" sheetId="4" r:id="rId8"/>
    <sheet state="visible" name="P05" sheetId="5" r:id="rId9"/>
    <sheet state="visible" name="P06" sheetId="6" r:id="rId10"/>
    <sheet state="visible" name="P07" sheetId="7" r:id="rId11"/>
    <sheet state="visible" name="P08" sheetId="8" r:id="rId12"/>
    <sheet state="visible" name="P09" sheetId="9" r:id="rId13"/>
    <sheet state="visible" name="P10" sheetId="10" r:id="rId14"/>
    <sheet state="visible" name="Análisis manual de resultados" sheetId="11" r:id="rId15"/>
    <sheet state="visible" name="Resumen respuestas para envío d" sheetId="12" r:id="rId16"/>
  </sheets>
  <definedNames/>
  <calcPr/>
</workbook>
</file>

<file path=xl/sharedStrings.xml><?xml version="1.0" encoding="utf-8"?>
<sst xmlns="http://schemas.openxmlformats.org/spreadsheetml/2006/main" count="442" uniqueCount="120">
  <si>
    <t>P01</t>
  </si>
  <si>
    <t>PREGUNTAS</t>
  </si>
  <si>
    <t>PUNTUACIÓN</t>
  </si>
  <si>
    <t>RESULTADO</t>
  </si>
  <si>
    <t>LEYENDA CON ESCALA DE ADJETIVOS</t>
  </si>
  <si>
    <t>CASO B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</si>
  <si>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</si>
  <si>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t>La usabilidad es EXCEPCIONAL</t>
  </si>
  <si>
    <t>Creo que me gustará visitar con frecuencia este website</t>
  </si>
  <si>
    <t>X</t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</si>
  <si>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</si>
  <si>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t>La usabilidad es EXCELENTE</t>
  </si>
  <si>
    <t>Encontré el website innecesariamente complejo</t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</si>
  <si>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</si>
  <si>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t>La usabilidad es BUENA</t>
  </si>
  <si>
    <t>Pensé que era fácil utilizar este website</t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</si>
  <si>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</si>
  <si>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t>La usabilidad es ACEPTABLE</t>
  </si>
  <si>
    <t>Creo que necesitaría del apoyo de un experto para recorrer el website</t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</si>
  <si>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</si>
  <si>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t>La usabilidad es DEFICIENTE</t>
  </si>
  <si>
    <t>Encontré las funciones del website bastante bien integradas</t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</si>
  <si>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</si>
  <si>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La usabilidad es MUY DEFICIENTE</t>
  </si>
  <si>
    <t>Pensé que había demasiada inconsistencia en el website</t>
  </si>
  <si>
    <t>Imagino que la mayoría de las personas aprenderían muy rápidamente a utilizar el website</t>
  </si>
  <si>
    <t>Encontré el website muy grande al recorrerlo</t>
  </si>
  <si>
    <t>Me sentí muy confiado en el manejo del website</t>
  </si>
  <si>
    <t>Necesito aprender muchas cosas antes de manejarse en el website</t>
  </si>
  <si>
    <t>VALORACIÓN FINAL</t>
  </si>
  <si>
    <t>P02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</si>
  <si>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</si>
  <si>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</si>
  <si>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</si>
  <si>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</si>
  <si>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</si>
  <si>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</si>
  <si>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P03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</si>
  <si>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</si>
  <si>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</si>
  <si>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</si>
  <si>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</si>
  <si>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</si>
  <si>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</si>
  <si>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P04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</si>
  <si>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</si>
  <si>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</si>
  <si>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</si>
  <si>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</si>
  <si>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</si>
  <si>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</si>
  <si>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P05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</si>
  <si>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</si>
  <si>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</si>
  <si>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</si>
  <si>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</si>
  <si>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</si>
  <si>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</si>
  <si>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P06</t>
  </si>
  <si>
    <t>CASO A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</si>
  <si>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</si>
  <si>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</si>
  <si>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</si>
  <si>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</si>
  <si>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</si>
  <si>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</si>
  <si>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P07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</si>
  <si>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</si>
  <si>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</si>
  <si>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</si>
  <si>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</si>
  <si>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</si>
  <si>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</si>
  <si>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P08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</si>
  <si>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</si>
  <si>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</si>
  <si>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</si>
  <si>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</si>
  <si>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</si>
  <si>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</si>
  <si>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P09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</si>
  <si>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</si>
  <si>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</si>
  <si>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</si>
  <si>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</si>
  <si>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</si>
  <si>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</si>
  <si>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P10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</si>
  <si>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</si>
  <si>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</si>
  <si>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</si>
  <si>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</si>
  <si>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</si>
  <si>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</si>
  <si>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CASO EVALUADO</t>
  </si>
  <si>
    <t>ID PARTICIPANTE</t>
  </si>
  <si>
    <t>INTERPRETACIÓN</t>
  </si>
  <si>
    <t>Valoración final media</t>
  </si>
  <si>
    <t>Interpretación media</t>
  </si>
  <si>
    <t>B</t>
  </si>
  <si>
    <r>
      <rPr>
        <rFont val="Arial"/>
        <color rgb="FFFFFFFF"/>
      </rPr>
      <t xml:space="preserve">BEST IMAGINABLE: </t>
    </r>
    <r>
      <rPr>
        <rFont val="Arial"/>
        <b/>
        <color rgb="FFFFFFFF"/>
      </rPr>
      <t>[85, 100]</t>
    </r>
  </si>
  <si>
    <r>
      <rPr>
        <rFont val="Arial"/>
        <color rgb="FFFFFFFF"/>
      </rPr>
      <t xml:space="preserve">EXCELLENT: </t>
    </r>
    <r>
      <rPr>
        <rFont val="Arial"/>
        <b/>
        <color rgb="FFFFFFFF"/>
      </rPr>
      <t>[81, 85)</t>
    </r>
  </si>
  <si>
    <r>
      <rPr>
        <rFont val="Arial"/>
        <color rgb="FFFFFFFF"/>
      </rPr>
      <t xml:space="preserve">GOOD: </t>
    </r>
    <r>
      <rPr>
        <rFont val="Arial"/>
        <b/>
        <color rgb="FFFFFFFF"/>
      </rPr>
      <t>[74, 81)</t>
    </r>
  </si>
  <si>
    <r>
      <rPr>
        <rFont val="Arial"/>
        <color rgb="FFFFFFFF"/>
      </rPr>
      <t xml:space="preserve">OK: </t>
    </r>
    <r>
      <rPr>
        <rFont val="Arial"/>
        <b/>
        <color rgb="FFFFFFFF"/>
      </rPr>
      <t>[52, 74)</t>
    </r>
  </si>
  <si>
    <r>
      <rPr>
        <rFont val="Arial"/>
        <color rgb="FFFFFFFF"/>
      </rPr>
      <t xml:space="preserve">POOR: </t>
    </r>
    <r>
      <rPr>
        <rFont val="Arial"/>
        <b/>
        <color rgb="FFFFFFFF"/>
      </rPr>
      <t>[25, 52)</t>
    </r>
  </si>
  <si>
    <t>A</t>
  </si>
  <si>
    <r>
      <rPr>
        <rFont val="Arial"/>
        <color rgb="FFFFFFFF"/>
      </rPr>
      <t xml:space="preserve">WORST IMAGINABLE: </t>
    </r>
    <r>
      <rPr>
        <rFont val="Arial"/>
        <b/>
        <color rgb="FFFFFFFF"/>
      </rPr>
      <t>[0, 25)</t>
    </r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</si>
  <si>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</si>
  <si>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</si>
  <si>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</si>
  <si>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</si>
  <si>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</si>
  <si>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</si>
  <si>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</si>
  <si>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</si>
  <si>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</si>
  <si>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</si>
  <si>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System</t>
  </si>
  <si>
    <t>Caso B</t>
  </si>
  <si>
    <t>Caso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</si>
</sst>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b/>
      <color rgb="FFFFFF00"/>
      <name val="Arial"/>
      <scheme val="minor"/>
    </font>
    <font>
      <b/>
      <color rgb="FF000000"/>
      <name val="Arial"/>
      <scheme val="minor"/>
    </font>
    <font/>
    <font>
      <b/>
      <color theme="1"/>
      <name val="Arial"/>
      <scheme val="minor"/>
    </font>
    <font>
      <b/>
      <color rgb="FFFFFFFF"/>
      <name val="Arial"/>
      <scheme val="minor"/>
    </font>
    <font>
      <b/>
      <sz val="11.0"/>
      <color rgb="FF000000"/>
      <name val="Arial"/>
      <scheme val="minor"/>
    </font>
    <font>
      <color rgb="FFFFFFFF"/>
      <name val="Arial"/>
      <scheme val="minor"/>
    </font>
    <font>
      <sz val="10.0"/>
      <color rgb="FFFFFFFF"/>
      <name val="Arial"/>
      <scheme val="minor"/>
    </font>
    <font>
      <b/>
      <color rgb="FFFFE599"/>
      <name val="Arial"/>
      <scheme val="minor"/>
    </font>
    <font>
      <color rgb="FFFFE599"/>
      <name val="Arial"/>
      <scheme val="minor"/>
    </font>
    <font>
      <color rgb="FF523E00"/>
      <name val="Arial"/>
      <scheme val="minor"/>
    </font>
    <font>
      <b/>
      <color rgb="FF7F6000"/>
      <name val="Arial"/>
      <scheme val="minor"/>
    </font>
    <font>
      <b/>
      <color rgb="FFFFF2CC"/>
      <name val="Arial"/>
      <scheme val="minor"/>
    </font>
    <font>
      <color rgb="FFFFF2CC"/>
      <name val="Arial"/>
      <scheme val="minor"/>
    </font>
    <font>
      <b/>
      <sz val="11.0"/>
      <color rgb="FFFFFFFF"/>
      <name val="Arial"/>
      <scheme val="minor"/>
    </font>
    <font>
      <b/>
      <sz val="14.0"/>
      <color rgb="FFFFFFFF"/>
      <name val="Arial"/>
      <scheme val="minor"/>
    </font>
    <font>
      <sz val="12.0"/>
      <color rgb="FFFFFFFF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b/>
      <sz val="15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rgb="FFFFFF00"/>
      <name val="Arial"/>
      <scheme val="minor"/>
    </font>
    <font>
      <b/>
      <sz val="12.0"/>
      <color rgb="FFFFFF00"/>
      <name val="Arial"/>
      <scheme val="minor"/>
    </font>
    <font>
      <sz val="12.0"/>
      <color rgb="FFFFFF00"/>
      <name val="Arial"/>
      <scheme val="minor"/>
    </font>
    <font>
      <sz val="15.0"/>
      <color rgb="FFFFFF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523E00"/>
        <bgColor rgb="FF523E00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58">
    <border/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FFFF00"/>
      </right>
      <top style="thin">
        <color rgb="FF000000"/>
      </top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thin">
        <color rgb="FFFFFF00"/>
      </right>
      <bottom style="medium">
        <color rgb="FF000000"/>
      </bottom>
    </border>
    <border>
      <left style="thin">
        <color rgb="FF000000"/>
      </left>
      <right style="dotted">
        <color rgb="FFFFFF00"/>
      </right>
      <top style="thin">
        <color rgb="FF000000"/>
      </top>
      <bottom style="thin">
        <color rgb="FFFFFF00"/>
      </bottom>
    </border>
    <border>
      <left style="dotted">
        <color rgb="FFFFFF00"/>
      </left>
      <right style="hair">
        <color rgb="FF000000"/>
      </right>
      <top style="medium">
        <color rgb="FFFFFF00"/>
      </top>
      <bottom style="thin">
        <color rgb="FFFFFF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right style="dotted">
        <color rgb="FFFFFF00"/>
      </right>
      <top style="thin">
        <color rgb="FFFFFF00"/>
      </top>
      <bottom style="thin">
        <color rgb="FFFFFF00"/>
      </bottom>
    </border>
    <border>
      <left style="dotted">
        <color rgb="FFFFFF00"/>
      </left>
      <right style="hair">
        <color rgb="FF000000"/>
      </right>
      <top style="thin">
        <color rgb="FFFFFF00"/>
      </top>
      <bottom style="thin">
        <color rgb="FFFFFF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FFFF00"/>
      </right>
      <top style="thin">
        <color rgb="FFFFFF00"/>
      </top>
    </border>
    <border>
      <left style="dotted">
        <color rgb="FFFFFF00"/>
      </left>
      <right style="hair">
        <color rgb="FF000000"/>
      </right>
      <top style="thin">
        <color rgb="FFFFFF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</border>
    <border>
      <left style="hair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right style="hair">
        <color rgb="FFFFFFFF"/>
      </right>
      <bottom style="medium">
        <color rgb="FFFFFFFF"/>
      </bottom>
    </border>
    <border>
      <left style="hair">
        <color rgb="FFFFFFFF"/>
      </left>
      <right style="hair">
        <color rgb="FFFFFFFF"/>
      </right>
      <bottom style="medium">
        <color rgb="FFFFFFFF"/>
      </bottom>
    </border>
    <border>
      <left style="hair">
        <color rgb="FFFFFFFF"/>
      </left>
      <bottom style="medium">
        <color rgb="FFFFFFFF"/>
      </bottom>
    </border>
    <border>
      <bottom style="medium">
        <color rgb="FFFFFFFF"/>
      </bottom>
    </border>
    <border>
      <left style="hair">
        <color rgb="FF000000"/>
      </left>
      <right style="thin">
        <color rgb="FFFFFFFF"/>
      </right>
      <top style="medium">
        <color rgb="FFFFFFFF"/>
      </top>
    </border>
    <border>
      <left style="thin">
        <color rgb="FFFFFFFF"/>
      </left>
      <right style="hair">
        <color rgb="FF000000"/>
      </right>
      <top style="medium">
        <color rgb="FFFFFFFF"/>
      </top>
      <bottom style="thin">
        <color rgb="FF000000"/>
      </bottom>
    </border>
    <border>
      <left style="hair">
        <color rgb="FF000000"/>
      </left>
      <top style="medium">
        <color rgb="FFFFFFFF"/>
      </top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</border>
    <border>
      <left style="hair">
        <color rgb="FF000000"/>
      </left>
      <right style="thin">
        <color rgb="FFFFFFFF"/>
      </right>
    </border>
    <border>
      <left style="thin">
        <color rgb="FFFFFFFF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hair">
        <color rgb="FF000000"/>
      </right>
      <top style="thin">
        <color rgb="FF000000"/>
      </top>
      <bottom style="thin">
        <color rgb="FFFFFFFF"/>
      </bottom>
    </border>
    <border>
      <left style="hair">
        <color rgb="FF000000"/>
      </left>
      <top style="thin">
        <color rgb="FF000000"/>
      </top>
      <bottom style="thin">
        <color rgb="FFFFFFFF"/>
      </bottom>
    </border>
    <border>
      <right style="hair">
        <color rgb="FF000000"/>
      </right>
      <top style="thin">
        <color rgb="FF000000"/>
      </top>
      <bottom style="thin">
        <color rgb="FFFFFFFF"/>
      </bottom>
    </border>
    <border>
      <left style="hair">
        <color rgb="FF000000"/>
      </left>
      <bottom style="thin">
        <color rgb="FFFFFFFF"/>
      </bottom>
    </border>
    <border>
      <bottom style="thin">
        <color rgb="FFFFFFFF"/>
      </bottom>
    </border>
    <border>
      <left style="hair">
        <color rgb="FFFFFF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hair">
        <color rgb="FFFFFF00"/>
      </right>
      <top style="thin">
        <color rgb="FFFFFFFF"/>
      </top>
      <bottom style="thin">
        <color rgb="FFFFFF00"/>
      </bottom>
    </border>
    <border>
      <left style="hair">
        <color rgb="FFFFFF00"/>
      </left>
      <top style="thin">
        <color rgb="FFFFFFFF"/>
      </top>
      <bottom style="thin">
        <color rgb="FFFFFF00"/>
      </bottom>
    </border>
    <border>
      <right style="hair">
        <color rgb="FFFFFF00"/>
      </right>
      <top style="thin">
        <color rgb="FFFFFFFF"/>
      </top>
      <bottom style="thin">
        <color rgb="FFFFFF00"/>
      </bottom>
    </border>
    <border>
      <left style="hair">
        <color rgb="FFFFFF00"/>
      </left>
      <top style="thin">
        <color rgb="FFFFFFFF"/>
      </top>
    </border>
    <border>
      <top style="thin">
        <color rgb="FFFFFFFF"/>
      </top>
    </border>
    <border>
      <left style="hair">
        <color rgb="FFFFFF00"/>
      </left>
      <right style="thin">
        <color rgb="FFFFFFFF"/>
      </right>
    </border>
    <border>
      <left style="thin">
        <color rgb="FFFFFFFF"/>
      </left>
      <right style="hair">
        <color rgb="FFFFFF00"/>
      </right>
      <top style="thin">
        <color rgb="FFFFFF00"/>
      </top>
      <bottom style="thin">
        <color rgb="FFFFFF00"/>
      </bottom>
    </border>
    <border>
      <left style="hair">
        <color rgb="FFFFFF00"/>
      </left>
      <top style="thin">
        <color rgb="FFFFFF00"/>
      </top>
      <bottom style="thin">
        <color rgb="FFFFFF00"/>
      </bottom>
    </border>
    <border>
      <right style="hair">
        <color rgb="FFFFFF00"/>
      </right>
      <top style="thin">
        <color rgb="FFFFFF00"/>
      </top>
      <bottom style="thin">
        <color rgb="FFFFFF00"/>
      </bottom>
    </border>
    <border>
      <left style="hair">
        <color rgb="FFFFFF00"/>
      </left>
    </border>
    <border>
      <left style="hair">
        <color rgb="FFFFFF00"/>
      </left>
      <right style="thin">
        <color rgb="FFFFFFFF"/>
      </right>
      <bottom style="thin">
        <color rgb="FFFFFF00"/>
      </bottom>
    </border>
    <border>
      <left style="thin">
        <color rgb="FFFFFFFF"/>
      </left>
      <right style="hair">
        <color rgb="FFFFFF00"/>
      </right>
      <top style="thin">
        <color rgb="FFFFFF00"/>
      </top>
    </border>
    <border>
      <left style="hair">
        <color rgb="FFFFFF00"/>
      </left>
      <top style="thin">
        <color rgb="FFFFFF00"/>
      </top>
    </border>
    <border>
      <right style="hair">
        <color rgb="FFFFFF00"/>
      </right>
      <top style="thin">
        <color rgb="FFFFFF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2" fontId="5" numFmtId="0" xfId="0" applyAlignment="1" applyBorder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6" fillId="0" fontId="4" numFmtId="0" xfId="0" applyBorder="1" applyFont="1"/>
    <xf borderId="7" fillId="2" fontId="5" numFmtId="0" xfId="0" applyAlignment="1" applyBorder="1" applyFont="1">
      <alignment horizontal="center" readingOrder="0"/>
    </xf>
    <xf borderId="8" fillId="2" fontId="5" numFmtId="0" xfId="0" applyAlignment="1" applyBorder="1" applyFont="1">
      <alignment horizontal="center" readingOrder="0"/>
    </xf>
    <xf borderId="9" fillId="0" fontId="4" numFmtId="0" xfId="0" applyBorder="1" applyFont="1"/>
    <xf borderId="0" fillId="5" fontId="8" numFmtId="0" xfId="0" applyAlignment="1" applyFill="1" applyFont="1">
      <alignment horizontal="center" readingOrder="0" vertical="center"/>
    </xf>
    <xf borderId="0" fillId="6" fontId="9" numFmtId="0" xfId="0" applyAlignment="1" applyFill="1" applyFont="1">
      <alignment horizontal="center" readingOrder="0" vertical="center"/>
    </xf>
    <xf borderId="10" fillId="3" fontId="10" numFmtId="0" xfId="0" applyAlignment="1" applyBorder="1" applyFont="1">
      <alignment horizontal="center" readingOrder="0"/>
    </xf>
    <xf borderId="11" fillId="3" fontId="11" numFmtId="0" xfId="0" applyAlignment="1" applyBorder="1" applyFont="1">
      <alignment readingOrder="0"/>
    </xf>
    <xf borderId="12" fillId="7" fontId="12" numFmtId="0" xfId="0" applyAlignment="1" applyBorder="1" applyFill="1" applyFont="1">
      <alignment horizontal="center"/>
    </xf>
    <xf borderId="12" fillId="7" fontId="12" numFmtId="0" xfId="0" applyAlignment="1" applyBorder="1" applyFont="1">
      <alignment horizontal="center" readingOrder="0"/>
    </xf>
    <xf borderId="13" fillId="7" fontId="12" numFmtId="0" xfId="0" applyAlignment="1" applyBorder="1" applyFont="1">
      <alignment horizontal="center"/>
    </xf>
    <xf borderId="14" fillId="7" fontId="13" numFmtId="0" xfId="0" applyAlignment="1" applyBorder="1" applyFont="1">
      <alignment horizontal="center"/>
    </xf>
    <xf borderId="15" fillId="3" fontId="14" numFmtId="0" xfId="0" applyAlignment="1" applyBorder="1" applyFont="1">
      <alignment horizontal="center" readingOrder="0"/>
    </xf>
    <xf borderId="16" fillId="3" fontId="15" numFmtId="0" xfId="0" applyAlignment="1" applyBorder="1" applyFont="1">
      <alignment readingOrder="0"/>
    </xf>
    <xf borderId="17" fillId="8" fontId="12" numFmtId="0" xfId="0" applyAlignment="1" applyBorder="1" applyFill="1" applyFont="1">
      <alignment horizontal="center" readingOrder="0"/>
    </xf>
    <xf borderId="17" fillId="8" fontId="12" numFmtId="0" xfId="0" applyAlignment="1" applyBorder="1" applyFont="1">
      <alignment horizontal="center"/>
    </xf>
    <xf borderId="18" fillId="8" fontId="12" numFmtId="0" xfId="0" applyAlignment="1" applyBorder="1" applyFont="1">
      <alignment horizontal="center"/>
    </xf>
    <xf borderId="14" fillId="8" fontId="13" numFmtId="0" xfId="0" applyAlignment="1" applyBorder="1" applyFont="1">
      <alignment horizontal="center"/>
    </xf>
    <xf borderId="15" fillId="3" fontId="10" numFmtId="0" xfId="0" applyAlignment="1" applyBorder="1" applyFont="1">
      <alignment horizontal="center" readingOrder="0"/>
    </xf>
    <xf borderId="16" fillId="3" fontId="11" numFmtId="0" xfId="0" applyAlignment="1" applyBorder="1" applyFont="1">
      <alignment readingOrder="0"/>
    </xf>
    <xf borderId="17" fillId="7" fontId="12" numFmtId="0" xfId="0" applyAlignment="1" applyBorder="1" applyFont="1">
      <alignment horizontal="center"/>
    </xf>
    <xf borderId="17" fillId="7" fontId="12" numFmtId="0" xfId="0" applyAlignment="1" applyBorder="1" applyFont="1">
      <alignment horizontal="center" readingOrder="0"/>
    </xf>
    <xf borderId="18" fillId="7" fontId="12" numFmtId="0" xfId="0" applyAlignment="1" applyBorder="1" applyFont="1">
      <alignment horizontal="center" readingOrder="0"/>
    </xf>
    <xf borderId="18" fillId="7" fontId="12" numFmtId="0" xfId="0" applyAlignment="1" applyBorder="1" applyFont="1">
      <alignment horizontal="center"/>
    </xf>
    <xf borderId="19" fillId="3" fontId="14" numFmtId="0" xfId="0" applyAlignment="1" applyBorder="1" applyFont="1">
      <alignment horizontal="center" readingOrder="0"/>
    </xf>
    <xf borderId="20" fillId="3" fontId="15" numFmtId="0" xfId="0" applyAlignment="1" applyBorder="1" applyFont="1">
      <alignment readingOrder="0"/>
    </xf>
    <xf borderId="21" fillId="8" fontId="12" numFmtId="0" xfId="0" applyAlignment="1" applyBorder="1" applyFont="1">
      <alignment horizontal="center" readingOrder="0"/>
    </xf>
    <xf borderId="21" fillId="8" fontId="12" numFmtId="0" xfId="0" applyAlignment="1" applyBorder="1" applyFont="1">
      <alignment horizontal="center"/>
    </xf>
    <xf borderId="22" fillId="8" fontId="12" numFmtId="0" xfId="0" applyAlignment="1" applyBorder="1" applyFont="1">
      <alignment horizontal="center"/>
    </xf>
    <xf borderId="23" fillId="8" fontId="13" numFmtId="0" xfId="0" applyAlignment="1" applyBorder="1" applyFont="1">
      <alignment horizontal="center"/>
    </xf>
    <xf borderId="0" fillId="6" fontId="16" numFmtId="0" xfId="0" applyAlignment="1" applyFont="1">
      <alignment horizontal="center" readingOrder="0" vertical="center"/>
    </xf>
    <xf borderId="0" fillId="5" fontId="17" numFmtId="0" xfId="0" applyAlignment="1" applyFont="1">
      <alignment horizontal="center" readingOrder="0" vertical="center"/>
    </xf>
    <xf borderId="0" fillId="5" fontId="18" numFmtId="0" xfId="0" applyAlignment="1" applyFont="1">
      <alignment horizontal="center" readingOrder="0" vertical="center"/>
    </xf>
    <xf borderId="0" fillId="2" fontId="19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13" fillId="7" fontId="12" numFmtId="0" xfId="0" applyAlignment="1" applyBorder="1" applyFont="1">
      <alignment horizontal="center" readingOrder="0"/>
    </xf>
    <xf borderId="0" fillId="0" fontId="21" numFmtId="0" xfId="0" applyAlignment="1" applyFont="1">
      <alignment horizontal="center" vertical="center"/>
    </xf>
    <xf borderId="24" fillId="4" fontId="22" numFmtId="0" xfId="0" applyAlignment="1" applyBorder="1" applyFont="1">
      <alignment horizontal="center" readingOrder="0" vertical="center"/>
    </xf>
    <xf borderId="25" fillId="4" fontId="22" numFmtId="0" xfId="0" applyAlignment="1" applyBorder="1" applyFont="1">
      <alignment horizontal="center" readingOrder="0" vertical="center"/>
    </xf>
    <xf borderId="26" fillId="5" fontId="22" numFmtId="0" xfId="0" applyAlignment="1" applyBorder="1" applyFont="1">
      <alignment horizontal="center" readingOrder="0"/>
    </xf>
    <xf borderId="26" fillId="5" fontId="18" numFmtId="0" xfId="0" applyAlignment="1" applyBorder="1" applyFont="1">
      <alignment horizontal="center" readingOrder="0" vertical="center"/>
    </xf>
    <xf borderId="27" fillId="5" fontId="22" numFmtId="0" xfId="0" applyAlignment="1" applyBorder="1" applyFont="1">
      <alignment horizontal="center" readingOrder="0" vertical="center"/>
    </xf>
    <xf borderId="28" fillId="5" fontId="18" numFmtId="0" xfId="0" applyAlignment="1" applyBorder="1" applyFont="1">
      <alignment horizontal="center" readingOrder="0" vertical="center"/>
    </xf>
    <xf borderId="0" fillId="0" fontId="23" numFmtId="0" xfId="0" applyAlignment="1" applyFont="1">
      <alignment readingOrder="0"/>
    </xf>
    <xf borderId="29" fillId="2" fontId="24" numFmtId="0" xfId="0" applyAlignment="1" applyBorder="1" applyFont="1">
      <alignment horizontal="center" readingOrder="0" vertical="center"/>
    </xf>
    <xf borderId="30" fillId="2" fontId="25" numFmtId="0" xfId="0" applyAlignment="1" applyBorder="1" applyFont="1">
      <alignment horizontal="center" readingOrder="0" vertical="center"/>
    </xf>
    <xf borderId="31" fillId="2" fontId="25" numFmtId="0" xfId="0" applyAlignment="1" applyBorder="1" applyFont="1">
      <alignment horizontal="center" readingOrder="0" vertical="center"/>
    </xf>
    <xf borderId="32" fillId="2" fontId="26" numFmtId="0" xfId="0" applyAlignment="1" applyBorder="1" applyFont="1">
      <alignment horizontal="center" readingOrder="0" vertical="center"/>
    </xf>
    <xf borderId="33" fillId="2" fontId="27" numFmtId="0" xfId="0" applyAlignment="1" applyBorder="1" applyFont="1">
      <alignment horizontal="center" vertical="center"/>
    </xf>
    <xf borderId="0" fillId="2" fontId="28" numFmtId="0" xfId="0" applyAlignment="1" applyFont="1">
      <alignment horizontal="center" vertical="center"/>
    </xf>
    <xf borderId="34" fillId="0" fontId="4" numFmtId="0" xfId="0" applyBorder="1" applyFont="1"/>
    <xf borderId="35" fillId="2" fontId="25" numFmtId="0" xfId="0" applyAlignment="1" applyBorder="1" applyFont="1">
      <alignment horizontal="center" readingOrder="0"/>
    </xf>
    <xf borderId="2" fillId="2" fontId="25" numFmtId="0" xfId="0" applyAlignment="1" applyBorder="1" applyFont="1">
      <alignment horizontal="center" vertical="center"/>
    </xf>
    <xf borderId="36" fillId="2" fontId="26" numFmtId="0" xfId="0" applyAlignment="1" applyBorder="1" applyFont="1">
      <alignment horizontal="center" vertical="center"/>
    </xf>
    <xf borderId="33" fillId="0" fontId="4" numFmtId="0" xfId="0" applyBorder="1" applyFont="1"/>
    <xf borderId="2" fillId="2" fontId="25" numFmtId="0" xfId="0" applyAlignment="1" applyBorder="1" applyFont="1">
      <alignment horizontal="center" readingOrder="0" vertical="center"/>
    </xf>
    <xf borderId="37" fillId="0" fontId="4" numFmtId="0" xfId="0" applyBorder="1" applyFont="1"/>
    <xf borderId="38" fillId="2" fontId="25" numFmtId="0" xfId="0" applyAlignment="1" applyBorder="1" applyFont="1">
      <alignment horizontal="center" readingOrder="0"/>
    </xf>
    <xf borderId="39" fillId="2" fontId="25" numFmtId="0" xfId="0" applyAlignment="1" applyBorder="1" applyFont="1">
      <alignment horizontal="center" readingOrder="0" vertical="center"/>
    </xf>
    <xf borderId="40" fillId="2" fontId="26" numFmtId="0" xfId="0" applyAlignment="1" applyBorder="1" applyFont="1">
      <alignment horizontal="center" vertical="center"/>
    </xf>
    <xf borderId="41" fillId="0" fontId="4" numFmtId="0" xfId="0" applyBorder="1" applyFont="1"/>
    <xf borderId="42" fillId="0" fontId="4" numFmtId="0" xfId="0" applyBorder="1" applyFont="1"/>
    <xf borderId="43" fillId="3" fontId="29" numFmtId="0" xfId="0" applyAlignment="1" applyBorder="1" applyFont="1">
      <alignment horizontal="center" readingOrder="0" vertical="center"/>
    </xf>
    <xf borderId="44" fillId="3" fontId="30" numFmtId="0" xfId="0" applyAlignment="1" applyBorder="1" applyFont="1">
      <alignment horizontal="center" readingOrder="0"/>
    </xf>
    <xf borderId="45" fillId="3" fontId="30" numFmtId="0" xfId="0" applyAlignment="1" applyBorder="1" applyFont="1">
      <alignment horizontal="center" vertical="center"/>
    </xf>
    <xf borderId="46" fillId="3" fontId="31" numFmtId="0" xfId="0" applyAlignment="1" applyBorder="1" applyFont="1">
      <alignment horizontal="center" vertical="center"/>
    </xf>
    <xf borderId="47" fillId="3" fontId="29" numFmtId="0" xfId="0" applyAlignment="1" applyBorder="1" applyFont="1">
      <alignment horizontal="center" vertical="center"/>
    </xf>
    <xf borderId="48" fillId="3" fontId="32" numFmtId="0" xfId="0" applyAlignment="1" applyBorder="1" applyFont="1">
      <alignment horizontal="center" vertical="center"/>
    </xf>
    <xf borderId="49" fillId="0" fontId="4" numFmtId="0" xfId="0" applyBorder="1" applyFont="1"/>
    <xf borderId="50" fillId="3" fontId="30" numFmtId="0" xfId="0" applyAlignment="1" applyBorder="1" applyFont="1">
      <alignment horizontal="center" readingOrder="0"/>
    </xf>
    <xf borderId="51" fillId="3" fontId="30" numFmtId="0" xfId="0" applyAlignment="1" applyBorder="1" applyFont="1">
      <alignment horizontal="center" readingOrder="0" vertical="center"/>
    </xf>
    <xf borderId="52" fillId="3" fontId="31" numFmtId="0" xfId="0" applyAlignment="1" applyBorder="1" applyFont="1">
      <alignment horizontal="center" vertical="center"/>
    </xf>
    <xf borderId="53" fillId="0" fontId="4" numFmtId="0" xfId="0" applyBorder="1" applyFont="1"/>
    <xf borderId="51" fillId="3" fontId="30" numFmtId="0" xfId="0" applyAlignment="1" applyBorder="1" applyFont="1">
      <alignment horizontal="center" vertical="center"/>
    </xf>
    <xf borderId="54" fillId="0" fontId="4" numFmtId="0" xfId="0" applyBorder="1" applyFont="1"/>
    <xf borderId="55" fillId="3" fontId="30" numFmtId="0" xfId="0" applyAlignment="1" applyBorder="1" applyFont="1">
      <alignment horizontal="center" readingOrder="0"/>
    </xf>
    <xf borderId="56" fillId="3" fontId="30" numFmtId="0" xfId="0" applyAlignment="1" applyBorder="1" applyFont="1">
      <alignment horizontal="center" vertical="center"/>
    </xf>
    <xf borderId="57" fillId="3" fontId="31" numFmtId="0" xfId="0" applyAlignment="1" applyBorder="1" applyFont="1">
      <alignment horizontal="center" vertical="center"/>
    </xf>
    <xf borderId="0" fillId="0" fontId="2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5"/>
    <col customWidth="1" min="10" max="10" width="28.25"/>
    <col customWidth="1" min="11" max="11" width="40.1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8" t="s">
        <v>5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6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8" t="s">
        <v>9</v>
      </c>
      <c r="F3" s="18"/>
      <c r="G3" s="19"/>
      <c r="H3" s="20">
        <f t="shared" ref="H3:H12" si="1">MATCH("X",C3:G3,0)</f>
        <v>3</v>
      </c>
      <c r="J3" s="13" t="s">
        <v>10</v>
      </c>
      <c r="K3" s="14" t="s">
        <v>11</v>
      </c>
    </row>
    <row r="4">
      <c r="A4" s="21">
        <v>2.0</v>
      </c>
      <c r="B4" s="22" t="s">
        <v>12</v>
      </c>
      <c r="C4" s="23" t="s">
        <v>9</v>
      </c>
      <c r="D4" s="23"/>
      <c r="E4" s="24"/>
      <c r="F4" s="24"/>
      <c r="G4" s="25"/>
      <c r="H4" s="26">
        <f t="shared" si="1"/>
        <v>1</v>
      </c>
      <c r="J4" s="13" t="s">
        <v>13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29"/>
      <c r="F5" s="30" t="s">
        <v>9</v>
      </c>
      <c r="G5" s="31"/>
      <c r="H5" s="20">
        <f t="shared" si="1"/>
        <v>4</v>
      </c>
      <c r="J5" s="13" t="s">
        <v>16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19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/>
      <c r="F7" s="30" t="s">
        <v>9</v>
      </c>
      <c r="G7" s="32"/>
      <c r="H7" s="20">
        <f t="shared" si="1"/>
        <v>4</v>
      </c>
      <c r="J7" s="13" t="s">
        <v>22</v>
      </c>
      <c r="K7" s="14" t="s">
        <v>23</v>
      </c>
    </row>
    <row r="8">
      <c r="A8" s="21">
        <v>6.0</v>
      </c>
      <c r="B8" s="22" t="s">
        <v>24</v>
      </c>
      <c r="C8" s="24"/>
      <c r="D8" s="23" t="s">
        <v>9</v>
      </c>
      <c r="E8" s="24"/>
      <c r="F8" s="24"/>
      <c r="G8" s="25"/>
      <c r="H8" s="26">
        <f t="shared" si="1"/>
        <v>2</v>
      </c>
    </row>
    <row r="9">
      <c r="A9" s="27">
        <v>7.0</v>
      </c>
      <c r="B9" s="28" t="s">
        <v>25</v>
      </c>
      <c r="C9" s="29"/>
      <c r="D9" s="29"/>
      <c r="E9" s="29"/>
      <c r="F9" s="30" t="s">
        <v>9</v>
      </c>
      <c r="G9" s="32"/>
      <c r="H9" s="20">
        <f t="shared" si="1"/>
        <v>4</v>
      </c>
    </row>
    <row r="10">
      <c r="A10" s="21">
        <v>8.0</v>
      </c>
      <c r="B10" s="22" t="s">
        <v>26</v>
      </c>
      <c r="C10" s="23"/>
      <c r="D10" s="23" t="s">
        <v>9</v>
      </c>
      <c r="E10" s="24"/>
      <c r="F10" s="24"/>
      <c r="G10" s="25"/>
      <c r="H10" s="26">
        <f t="shared" si="1"/>
        <v>2</v>
      </c>
    </row>
    <row r="11">
      <c r="A11" s="27">
        <v>9.0</v>
      </c>
      <c r="B11" s="28" t="s">
        <v>27</v>
      </c>
      <c r="C11" s="29"/>
      <c r="D11" s="29"/>
      <c r="E11" s="29"/>
      <c r="F11" s="30" t="s">
        <v>9</v>
      </c>
      <c r="G11" s="31"/>
      <c r="H11" s="20">
        <f t="shared" si="1"/>
        <v>4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80</v>
      </c>
    </row>
    <row r="14">
      <c r="H14" s="41" t="str">
        <f>IF(H13&lt;25,"WORST IMAGINABLE",
IF(H13&lt;52,"POOR",
IF(H13&lt;74,"OK",
IF(H13&lt;81,"GOOD",
IF(H13&lt;85,"EXCELLENT",
"BEST IMAGINABLE")))))</f>
        <v>GOOD</v>
      </c>
    </row>
  </sheetData>
  <mergeCells count="5">
    <mergeCell ref="B1:B2"/>
    <mergeCell ref="C1:G1"/>
    <mergeCell ref="H1:H2"/>
    <mergeCell ref="J1:K1"/>
    <mergeCell ref="A13:G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5"/>
    <col customWidth="1" min="10" max="10" width="28.25"/>
    <col customWidth="1" min="11" max="11" width="40.13"/>
  </cols>
  <sheetData>
    <row r="1">
      <c r="A1" s="42" t="s">
        <v>30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43" t="s">
        <v>5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31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7"/>
      <c r="F3" s="18" t="s">
        <v>9</v>
      </c>
      <c r="G3" s="19"/>
      <c r="H3" s="20">
        <f t="shared" ref="H3:H12" si="1">MATCH("X",C3:G3,0)</f>
        <v>4</v>
      </c>
      <c r="J3" s="13" t="s">
        <v>32</v>
      </c>
      <c r="K3" s="14" t="s">
        <v>11</v>
      </c>
    </row>
    <row r="4">
      <c r="A4" s="21">
        <v>2.0</v>
      </c>
      <c r="B4" s="22" t="s">
        <v>12</v>
      </c>
      <c r="C4" s="24"/>
      <c r="D4" s="23" t="s">
        <v>9</v>
      </c>
      <c r="E4" s="24"/>
      <c r="F4" s="24"/>
      <c r="G4" s="25"/>
      <c r="H4" s="26">
        <f t="shared" si="1"/>
        <v>2</v>
      </c>
      <c r="J4" s="13" t="s">
        <v>33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29"/>
      <c r="F5" s="29"/>
      <c r="G5" s="31" t="s">
        <v>9</v>
      </c>
      <c r="H5" s="20">
        <f t="shared" si="1"/>
        <v>5</v>
      </c>
      <c r="J5" s="13" t="s">
        <v>34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35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/>
      <c r="F7" s="30" t="s">
        <v>9</v>
      </c>
      <c r="G7" s="32"/>
      <c r="H7" s="20">
        <f t="shared" si="1"/>
        <v>4</v>
      </c>
      <c r="J7" s="13" t="s">
        <v>36</v>
      </c>
      <c r="K7" s="14" t="s">
        <v>23</v>
      </c>
    </row>
    <row r="8">
      <c r="A8" s="21">
        <v>6.0</v>
      </c>
      <c r="B8" s="22" t="s">
        <v>24</v>
      </c>
      <c r="C8" s="24"/>
      <c r="D8" s="23" t="s">
        <v>9</v>
      </c>
      <c r="E8" s="24"/>
      <c r="F8" s="24"/>
      <c r="G8" s="25"/>
      <c r="H8" s="26">
        <f t="shared" si="1"/>
        <v>2</v>
      </c>
    </row>
    <row r="9">
      <c r="A9" s="27">
        <v>7.0</v>
      </c>
      <c r="B9" s="28" t="s">
        <v>25</v>
      </c>
      <c r="C9" s="29"/>
      <c r="D9" s="29"/>
      <c r="E9" s="29"/>
      <c r="F9" s="30" t="s">
        <v>9</v>
      </c>
      <c r="G9" s="32"/>
      <c r="H9" s="20">
        <f t="shared" si="1"/>
        <v>4</v>
      </c>
    </row>
    <row r="10">
      <c r="A10" s="21">
        <v>8.0</v>
      </c>
      <c r="B10" s="22" t="s">
        <v>26</v>
      </c>
      <c r="C10" s="23" t="s">
        <v>9</v>
      </c>
      <c r="D10" s="24"/>
      <c r="E10" s="24"/>
      <c r="F10" s="24"/>
      <c r="G10" s="25"/>
      <c r="H10" s="26">
        <f t="shared" si="1"/>
        <v>1</v>
      </c>
    </row>
    <row r="11">
      <c r="A11" s="27">
        <v>9.0</v>
      </c>
      <c r="B11" s="28" t="s">
        <v>27</v>
      </c>
      <c r="C11" s="29"/>
      <c r="D11" s="29"/>
      <c r="E11" s="29"/>
      <c r="F11" s="30" t="s">
        <v>9</v>
      </c>
      <c r="G11" s="31"/>
      <c r="H11" s="20">
        <f t="shared" si="1"/>
        <v>4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85</v>
      </c>
    </row>
    <row r="14">
      <c r="H14" s="41" t="str">
        <f>IF(H13&lt;25,"WORST IMAGINABLE",
IF(H13&lt;52,"POOR",
IF(H13&lt;74,"OK",
IF(H13&lt;81,"GOOD",
IF(H13&lt;85,"EXCELLENT",
"BEST IMAGINABLE")))))</f>
        <v>BEST IMAGINABLE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5"/>
    <col customWidth="1" min="10" max="10" width="28.25"/>
    <col customWidth="1" min="11" max="11" width="40.13"/>
  </cols>
  <sheetData>
    <row r="1">
      <c r="A1" s="42" t="s">
        <v>37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43" t="s">
        <v>5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38</v>
      </c>
      <c r="K2" s="14" t="s">
        <v>7</v>
      </c>
    </row>
    <row r="3">
      <c r="A3" s="15">
        <v>1.0</v>
      </c>
      <c r="B3" s="16" t="s">
        <v>8</v>
      </c>
      <c r="C3" s="17"/>
      <c r="D3" s="18" t="s">
        <v>9</v>
      </c>
      <c r="E3" s="17"/>
      <c r="F3" s="18"/>
      <c r="G3" s="19"/>
      <c r="H3" s="20">
        <f t="shared" ref="H3:H12" si="1">MATCH("X",C3:G3,0)</f>
        <v>2</v>
      </c>
      <c r="J3" s="13" t="s">
        <v>39</v>
      </c>
      <c r="K3" s="14" t="s">
        <v>11</v>
      </c>
    </row>
    <row r="4">
      <c r="A4" s="21">
        <v>2.0</v>
      </c>
      <c r="B4" s="22" t="s">
        <v>12</v>
      </c>
      <c r="C4" s="24"/>
      <c r="D4" s="23"/>
      <c r="E4" s="23" t="s">
        <v>9</v>
      </c>
      <c r="F4" s="24"/>
      <c r="G4" s="25"/>
      <c r="H4" s="26">
        <f t="shared" si="1"/>
        <v>3</v>
      </c>
      <c r="J4" s="13" t="s">
        <v>40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30" t="s">
        <v>9</v>
      </c>
      <c r="F5" s="29"/>
      <c r="G5" s="31"/>
      <c r="H5" s="20">
        <f t="shared" si="1"/>
        <v>3</v>
      </c>
      <c r="J5" s="13" t="s">
        <v>41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42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 t="s">
        <v>9</v>
      </c>
      <c r="F7" s="29"/>
      <c r="G7" s="32"/>
      <c r="H7" s="20">
        <f t="shared" si="1"/>
        <v>3</v>
      </c>
      <c r="J7" s="13" t="s">
        <v>43</v>
      </c>
      <c r="K7" s="14" t="s">
        <v>23</v>
      </c>
    </row>
    <row r="8">
      <c r="A8" s="21">
        <v>6.0</v>
      </c>
      <c r="B8" s="22" t="s">
        <v>24</v>
      </c>
      <c r="C8" s="24"/>
      <c r="D8" s="23"/>
      <c r="E8" s="24"/>
      <c r="F8" s="23" t="s">
        <v>9</v>
      </c>
      <c r="G8" s="25"/>
      <c r="H8" s="26">
        <f t="shared" si="1"/>
        <v>4</v>
      </c>
    </row>
    <row r="9">
      <c r="A9" s="27">
        <v>7.0</v>
      </c>
      <c r="B9" s="28" t="s">
        <v>25</v>
      </c>
      <c r="C9" s="29"/>
      <c r="D9" s="29"/>
      <c r="E9" s="30" t="s">
        <v>9</v>
      </c>
      <c r="F9" s="30"/>
      <c r="G9" s="32"/>
      <c r="H9" s="20">
        <f t="shared" si="1"/>
        <v>3</v>
      </c>
    </row>
    <row r="10">
      <c r="A10" s="21">
        <v>8.0</v>
      </c>
      <c r="B10" s="22" t="s">
        <v>26</v>
      </c>
      <c r="C10" s="23" t="s">
        <v>9</v>
      </c>
      <c r="D10" s="24"/>
      <c r="E10" s="24"/>
      <c r="F10" s="24"/>
      <c r="G10" s="25"/>
      <c r="H10" s="26">
        <f t="shared" si="1"/>
        <v>1</v>
      </c>
    </row>
    <row r="11">
      <c r="A11" s="27">
        <v>9.0</v>
      </c>
      <c r="B11" s="28" t="s">
        <v>27</v>
      </c>
      <c r="C11" s="29"/>
      <c r="D11" s="29"/>
      <c r="E11" s="29"/>
      <c r="F11" s="29"/>
      <c r="G11" s="31" t="s">
        <v>9</v>
      </c>
      <c r="H11" s="20">
        <f t="shared" si="1"/>
        <v>5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65</v>
      </c>
    </row>
    <row r="14">
      <c r="H14" s="41" t="str">
        <f>IF(H13&lt;25,"WORST IMAGINABLE",
IF(H13&lt;52,"POOR",
IF(H13&lt;74,"OK",
IF(H13&lt;81,"GOOD",
IF(H13&lt;85,"EXCELLENT",
"BEST IMAGINABLE")))))</f>
        <v>OK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25"/>
    <col customWidth="1" min="10" max="10" width="28.25"/>
    <col customWidth="1" min="11" max="11" width="40.13"/>
  </cols>
  <sheetData>
    <row r="1">
      <c r="A1" s="42" t="s">
        <v>44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43" t="s">
        <v>5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45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7"/>
      <c r="F3" s="18" t="s">
        <v>9</v>
      </c>
      <c r="G3" s="19"/>
      <c r="H3" s="20">
        <f t="shared" ref="H3:H12" si="1">MATCH("X",C3:G3,0)</f>
        <v>4</v>
      </c>
      <c r="J3" s="13" t="s">
        <v>46</v>
      </c>
      <c r="K3" s="14" t="s">
        <v>11</v>
      </c>
    </row>
    <row r="4">
      <c r="A4" s="21">
        <v>2.0</v>
      </c>
      <c r="B4" s="22" t="s">
        <v>12</v>
      </c>
      <c r="C4" s="23" t="s">
        <v>9</v>
      </c>
      <c r="D4" s="23"/>
      <c r="E4" s="24"/>
      <c r="F4" s="24"/>
      <c r="G4" s="25"/>
      <c r="H4" s="26">
        <f t="shared" si="1"/>
        <v>1</v>
      </c>
      <c r="J4" s="13" t="s">
        <v>47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29"/>
      <c r="F5" s="29"/>
      <c r="G5" s="31" t="s">
        <v>9</v>
      </c>
      <c r="H5" s="20">
        <f t="shared" si="1"/>
        <v>5</v>
      </c>
      <c r="J5" s="13" t="s">
        <v>48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49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/>
      <c r="F7" s="29"/>
      <c r="G7" s="31" t="s">
        <v>9</v>
      </c>
      <c r="H7" s="20">
        <f t="shared" si="1"/>
        <v>5</v>
      </c>
      <c r="J7" s="13" t="s">
        <v>50</v>
      </c>
      <c r="K7" s="14" t="s">
        <v>23</v>
      </c>
    </row>
    <row r="8">
      <c r="A8" s="21">
        <v>6.0</v>
      </c>
      <c r="B8" s="22" t="s">
        <v>24</v>
      </c>
      <c r="C8" s="24"/>
      <c r="D8" s="23" t="s">
        <v>9</v>
      </c>
      <c r="E8" s="24"/>
      <c r="F8" s="24"/>
      <c r="G8" s="25"/>
      <c r="H8" s="26">
        <f t="shared" si="1"/>
        <v>2</v>
      </c>
    </row>
    <row r="9">
      <c r="A9" s="27">
        <v>7.0</v>
      </c>
      <c r="B9" s="28" t="s">
        <v>25</v>
      </c>
      <c r="C9" s="29"/>
      <c r="D9" s="29"/>
      <c r="E9" s="29"/>
      <c r="F9" s="30" t="s">
        <v>9</v>
      </c>
      <c r="G9" s="32"/>
      <c r="H9" s="20">
        <f t="shared" si="1"/>
        <v>4</v>
      </c>
    </row>
    <row r="10">
      <c r="A10" s="21">
        <v>8.0</v>
      </c>
      <c r="B10" s="22" t="s">
        <v>26</v>
      </c>
      <c r="C10" s="23"/>
      <c r="D10" s="23" t="s">
        <v>9</v>
      </c>
      <c r="E10" s="24"/>
      <c r="F10" s="24"/>
      <c r="G10" s="25"/>
      <c r="H10" s="26">
        <f t="shared" si="1"/>
        <v>2</v>
      </c>
    </row>
    <row r="11">
      <c r="A11" s="27">
        <v>9.0</v>
      </c>
      <c r="B11" s="28" t="s">
        <v>27</v>
      </c>
      <c r="C11" s="29"/>
      <c r="D11" s="29"/>
      <c r="E11" s="29"/>
      <c r="F11" s="29"/>
      <c r="G11" s="31" t="s">
        <v>9</v>
      </c>
      <c r="H11" s="20">
        <f t="shared" si="1"/>
        <v>5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90</v>
      </c>
    </row>
    <row r="14">
      <c r="H14" s="41" t="str">
        <f>IF(H13&lt;25,"WORST IMAGINABLE",
IF(H13&lt;52,"POOR",
IF(H13&lt;74,"OK",
IF(H13&lt;81,"GOOD",
IF(H13&lt;85,"EXCELLENT",
"BEST IMAGINABLE")))))</f>
        <v>BEST IMAGINABLE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5"/>
    <col customWidth="1" min="10" max="10" width="28.25"/>
    <col customWidth="1" min="11" max="11" width="40.13"/>
  </cols>
  <sheetData>
    <row r="1">
      <c r="A1" s="42" t="s">
        <v>51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43" t="s">
        <v>5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52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7"/>
      <c r="F3" s="18" t="s">
        <v>9</v>
      </c>
      <c r="G3" s="19"/>
      <c r="H3" s="20">
        <f t="shared" ref="H3:H12" si="1">MATCH("X",C3:G3,0)</f>
        <v>4</v>
      </c>
      <c r="J3" s="13" t="s">
        <v>53</v>
      </c>
      <c r="K3" s="14" t="s">
        <v>11</v>
      </c>
    </row>
    <row r="4">
      <c r="A4" s="21">
        <v>2.0</v>
      </c>
      <c r="B4" s="22" t="s">
        <v>12</v>
      </c>
      <c r="C4" s="24"/>
      <c r="D4" s="23" t="s">
        <v>9</v>
      </c>
      <c r="E4" s="24"/>
      <c r="F4" s="24"/>
      <c r="G4" s="25"/>
      <c r="H4" s="26">
        <f t="shared" si="1"/>
        <v>2</v>
      </c>
      <c r="J4" s="13" t="s">
        <v>54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29"/>
      <c r="F5" s="29"/>
      <c r="G5" s="31" t="s">
        <v>9</v>
      </c>
      <c r="H5" s="20">
        <f t="shared" si="1"/>
        <v>5</v>
      </c>
      <c r="J5" s="13" t="s">
        <v>55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56</v>
      </c>
      <c r="K6" s="14" t="s">
        <v>20</v>
      </c>
    </row>
    <row r="7">
      <c r="A7" s="27">
        <v>5.0</v>
      </c>
      <c r="B7" s="28" t="s">
        <v>21</v>
      </c>
      <c r="C7" s="29"/>
      <c r="D7" s="30" t="s">
        <v>9</v>
      </c>
      <c r="E7" s="30"/>
      <c r="F7" s="29"/>
      <c r="G7" s="32"/>
      <c r="H7" s="20">
        <f t="shared" si="1"/>
        <v>2</v>
      </c>
      <c r="J7" s="13" t="s">
        <v>57</v>
      </c>
      <c r="K7" s="14" t="s">
        <v>23</v>
      </c>
    </row>
    <row r="8">
      <c r="A8" s="21">
        <v>6.0</v>
      </c>
      <c r="B8" s="22" t="s">
        <v>24</v>
      </c>
      <c r="C8" s="24"/>
      <c r="D8" s="23"/>
      <c r="E8" s="23" t="s">
        <v>9</v>
      </c>
      <c r="F8" s="24"/>
      <c r="G8" s="25"/>
      <c r="H8" s="26">
        <f t="shared" si="1"/>
        <v>3</v>
      </c>
    </row>
    <row r="9">
      <c r="A9" s="27">
        <v>7.0</v>
      </c>
      <c r="B9" s="28" t="s">
        <v>25</v>
      </c>
      <c r="C9" s="29"/>
      <c r="D9" s="29"/>
      <c r="E9" s="29"/>
      <c r="F9" s="30" t="s">
        <v>9</v>
      </c>
      <c r="G9" s="32"/>
      <c r="H9" s="20">
        <f t="shared" si="1"/>
        <v>4</v>
      </c>
    </row>
    <row r="10">
      <c r="A10" s="21">
        <v>8.0</v>
      </c>
      <c r="B10" s="22" t="s">
        <v>26</v>
      </c>
      <c r="C10" s="23"/>
      <c r="D10" s="23" t="s">
        <v>9</v>
      </c>
      <c r="E10" s="24"/>
      <c r="F10" s="24"/>
      <c r="G10" s="25"/>
      <c r="H10" s="26">
        <f t="shared" si="1"/>
        <v>2</v>
      </c>
    </row>
    <row r="11">
      <c r="A11" s="27">
        <v>9.0</v>
      </c>
      <c r="B11" s="28" t="s">
        <v>27</v>
      </c>
      <c r="C11" s="29"/>
      <c r="D11" s="29"/>
      <c r="E11" s="29"/>
      <c r="F11" s="29"/>
      <c r="G11" s="31" t="s">
        <v>9</v>
      </c>
      <c r="H11" s="20">
        <f t="shared" si="1"/>
        <v>5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77.5</v>
      </c>
    </row>
    <row r="14">
      <c r="H14" s="41" t="str">
        <f>IF(H13&lt;25,"WORST IMAGINABLE",
IF(H13&lt;52,"POOR",
IF(H13&lt;74,"OK",
IF(H13&lt;81,"GOOD",
IF(H13&lt;85,"EXCELLENT",
"BEST IMAGINABLE")))))</f>
        <v>GOOD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38"/>
    <col customWidth="1" min="10" max="10" width="28.25"/>
    <col customWidth="1" min="11" max="11" width="40.13"/>
  </cols>
  <sheetData>
    <row r="1">
      <c r="A1" s="42" t="s">
        <v>58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43" t="s">
        <v>59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60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7"/>
      <c r="F3" s="18" t="s">
        <v>9</v>
      </c>
      <c r="G3" s="19"/>
      <c r="H3" s="20">
        <f t="shared" ref="H3:H12" si="1">MATCH("X",C3:G3,0)</f>
        <v>4</v>
      </c>
      <c r="J3" s="13" t="s">
        <v>61</v>
      </c>
      <c r="K3" s="14" t="s">
        <v>11</v>
      </c>
    </row>
    <row r="4">
      <c r="A4" s="21">
        <v>2.0</v>
      </c>
      <c r="B4" s="22" t="s">
        <v>12</v>
      </c>
      <c r="C4" s="23" t="s">
        <v>9</v>
      </c>
      <c r="D4" s="23"/>
      <c r="E4" s="24"/>
      <c r="F4" s="24"/>
      <c r="G4" s="25"/>
      <c r="H4" s="26">
        <f t="shared" si="1"/>
        <v>1</v>
      </c>
      <c r="J4" s="13" t="s">
        <v>62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29"/>
      <c r="F5" s="29"/>
      <c r="G5" s="31" t="s">
        <v>9</v>
      </c>
      <c r="H5" s="20">
        <f t="shared" si="1"/>
        <v>5</v>
      </c>
      <c r="J5" s="13" t="s">
        <v>63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64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/>
      <c r="F7" s="30" t="s">
        <v>9</v>
      </c>
      <c r="G7" s="32"/>
      <c r="H7" s="20">
        <f t="shared" si="1"/>
        <v>4</v>
      </c>
      <c r="J7" s="13" t="s">
        <v>65</v>
      </c>
      <c r="K7" s="14" t="s">
        <v>23</v>
      </c>
    </row>
    <row r="8">
      <c r="A8" s="21">
        <v>6.0</v>
      </c>
      <c r="B8" s="22" t="s">
        <v>24</v>
      </c>
      <c r="C8" s="23" t="s">
        <v>9</v>
      </c>
      <c r="D8" s="23"/>
      <c r="E8" s="24"/>
      <c r="F8" s="24"/>
      <c r="G8" s="25"/>
      <c r="H8" s="26">
        <f t="shared" si="1"/>
        <v>1</v>
      </c>
    </row>
    <row r="9">
      <c r="A9" s="27">
        <v>7.0</v>
      </c>
      <c r="B9" s="28" t="s">
        <v>25</v>
      </c>
      <c r="C9" s="29"/>
      <c r="D9" s="29"/>
      <c r="E9" s="29"/>
      <c r="F9" s="30"/>
      <c r="G9" s="31" t="s">
        <v>9</v>
      </c>
      <c r="H9" s="20">
        <f t="shared" si="1"/>
        <v>5</v>
      </c>
    </row>
    <row r="10">
      <c r="A10" s="21">
        <v>8.0</v>
      </c>
      <c r="B10" s="22" t="s">
        <v>26</v>
      </c>
      <c r="C10" s="23"/>
      <c r="D10" s="23" t="s">
        <v>9</v>
      </c>
      <c r="E10" s="24"/>
      <c r="F10" s="24"/>
      <c r="G10" s="25"/>
      <c r="H10" s="26">
        <f t="shared" si="1"/>
        <v>2</v>
      </c>
    </row>
    <row r="11">
      <c r="A11" s="27">
        <v>9.0</v>
      </c>
      <c r="B11" s="28" t="s">
        <v>27</v>
      </c>
      <c r="C11" s="29"/>
      <c r="D11" s="29"/>
      <c r="E11" s="29"/>
      <c r="F11" s="29"/>
      <c r="G11" s="31" t="s">
        <v>9</v>
      </c>
      <c r="H11" s="20">
        <f t="shared" si="1"/>
        <v>5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92.5</v>
      </c>
    </row>
    <row r="14">
      <c r="H14" s="41" t="str">
        <f>IF(H13&lt;25,"WORST IMAGINABLE",
IF(H13&lt;52,"POOR",
IF(H13&lt;74,"OK",
IF(H13&lt;81,"GOOD",
IF(H13&lt;85,"EXCELLENT",
"BEST IMAGINABLE")))))</f>
        <v>BEST IMAGINABLE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25"/>
    <col customWidth="1" min="10" max="10" width="28.25"/>
    <col customWidth="1" min="11" max="11" width="40.13"/>
  </cols>
  <sheetData>
    <row r="1">
      <c r="A1" s="42" t="s">
        <v>66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43" t="s">
        <v>59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67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7"/>
      <c r="F3" s="18" t="s">
        <v>9</v>
      </c>
      <c r="G3" s="19"/>
      <c r="H3" s="20">
        <f t="shared" ref="H3:H12" si="1">MATCH("X",C3:G3,0)</f>
        <v>4</v>
      </c>
      <c r="J3" s="13" t="s">
        <v>68</v>
      </c>
      <c r="K3" s="14" t="s">
        <v>11</v>
      </c>
    </row>
    <row r="4">
      <c r="A4" s="21">
        <v>2.0</v>
      </c>
      <c r="B4" s="22" t="s">
        <v>12</v>
      </c>
      <c r="C4" s="24"/>
      <c r="D4" s="23" t="s">
        <v>9</v>
      </c>
      <c r="E4" s="24"/>
      <c r="F4" s="24"/>
      <c r="G4" s="25"/>
      <c r="H4" s="26">
        <f t="shared" si="1"/>
        <v>2</v>
      </c>
      <c r="J4" s="13" t="s">
        <v>69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29"/>
      <c r="F5" s="29"/>
      <c r="G5" s="31" t="s">
        <v>9</v>
      </c>
      <c r="H5" s="20">
        <f t="shared" si="1"/>
        <v>5</v>
      </c>
      <c r="J5" s="13" t="s">
        <v>70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71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 t="s">
        <v>9</v>
      </c>
      <c r="F7" s="29"/>
      <c r="G7" s="32"/>
      <c r="H7" s="20">
        <f t="shared" si="1"/>
        <v>3</v>
      </c>
      <c r="J7" s="13" t="s">
        <v>72</v>
      </c>
      <c r="K7" s="14" t="s">
        <v>23</v>
      </c>
    </row>
    <row r="8">
      <c r="A8" s="21">
        <v>6.0</v>
      </c>
      <c r="B8" s="22" t="s">
        <v>24</v>
      </c>
      <c r="C8" s="24"/>
      <c r="D8" s="23" t="s">
        <v>9</v>
      </c>
      <c r="E8" s="24"/>
      <c r="F8" s="24"/>
      <c r="G8" s="25"/>
      <c r="H8" s="26">
        <f t="shared" si="1"/>
        <v>2</v>
      </c>
    </row>
    <row r="9">
      <c r="A9" s="27">
        <v>7.0</v>
      </c>
      <c r="B9" s="28" t="s">
        <v>25</v>
      </c>
      <c r="C9" s="29"/>
      <c r="D9" s="29"/>
      <c r="E9" s="29"/>
      <c r="F9" s="30" t="s">
        <v>9</v>
      </c>
      <c r="G9" s="32"/>
      <c r="H9" s="20">
        <f t="shared" si="1"/>
        <v>4</v>
      </c>
    </row>
    <row r="10">
      <c r="A10" s="21">
        <v>8.0</v>
      </c>
      <c r="B10" s="22" t="s">
        <v>26</v>
      </c>
      <c r="C10" s="23" t="s">
        <v>9</v>
      </c>
      <c r="D10" s="24"/>
      <c r="E10" s="24"/>
      <c r="F10" s="24"/>
      <c r="G10" s="25"/>
      <c r="H10" s="26">
        <f t="shared" si="1"/>
        <v>1</v>
      </c>
    </row>
    <row r="11">
      <c r="A11" s="27">
        <v>9.0</v>
      </c>
      <c r="B11" s="28" t="s">
        <v>27</v>
      </c>
      <c r="C11" s="29"/>
      <c r="D11" s="29"/>
      <c r="E11" s="29"/>
      <c r="F11" s="29"/>
      <c r="G11" s="31" t="s">
        <v>9</v>
      </c>
      <c r="H11" s="20">
        <f t="shared" si="1"/>
        <v>5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85</v>
      </c>
    </row>
    <row r="14">
      <c r="H14" s="41" t="str">
        <f>IF(H13&lt;25,"WORST IMAGINABLE",
IF(H13&lt;52,"POOR",
IF(H13&lt;74,"OK",
IF(H13&lt;81,"GOOD",
IF(H13&lt;85,"EXCELLENT",
"BEST IMAGINABLE")))))</f>
        <v>BEST IMAGINABLE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38"/>
    <col customWidth="1" min="10" max="10" width="28.25"/>
    <col customWidth="1" min="11" max="11" width="40.13"/>
  </cols>
  <sheetData>
    <row r="1">
      <c r="A1" s="42" t="s">
        <v>73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43" t="s">
        <v>59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74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7"/>
      <c r="F3" s="18"/>
      <c r="G3" s="44" t="s">
        <v>9</v>
      </c>
      <c r="H3" s="20">
        <f t="shared" ref="H3:H12" si="1">MATCH("X",C3:G3,0)</f>
        <v>5</v>
      </c>
      <c r="J3" s="13" t="s">
        <v>75</v>
      </c>
      <c r="K3" s="14" t="s">
        <v>11</v>
      </c>
    </row>
    <row r="4">
      <c r="A4" s="21">
        <v>2.0</v>
      </c>
      <c r="B4" s="22" t="s">
        <v>12</v>
      </c>
      <c r="C4" s="23" t="s">
        <v>9</v>
      </c>
      <c r="D4" s="23"/>
      <c r="E4" s="24"/>
      <c r="F4" s="24"/>
      <c r="G4" s="25"/>
      <c r="H4" s="26">
        <f t="shared" si="1"/>
        <v>1</v>
      </c>
      <c r="J4" s="13" t="s">
        <v>76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29"/>
      <c r="F5" s="30" t="s">
        <v>9</v>
      </c>
      <c r="G5" s="31"/>
      <c r="H5" s="20">
        <f t="shared" si="1"/>
        <v>4</v>
      </c>
      <c r="J5" s="13" t="s">
        <v>77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78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/>
      <c r="F7" s="30" t="s">
        <v>9</v>
      </c>
      <c r="G7" s="32"/>
      <c r="H7" s="20">
        <f t="shared" si="1"/>
        <v>4</v>
      </c>
      <c r="J7" s="13" t="s">
        <v>79</v>
      </c>
      <c r="K7" s="14" t="s">
        <v>23</v>
      </c>
    </row>
    <row r="8">
      <c r="A8" s="21">
        <v>6.0</v>
      </c>
      <c r="B8" s="22" t="s">
        <v>24</v>
      </c>
      <c r="C8" s="24"/>
      <c r="D8" s="23" t="s">
        <v>9</v>
      </c>
      <c r="E8" s="24"/>
      <c r="F8" s="24"/>
      <c r="G8" s="25"/>
      <c r="H8" s="26">
        <f t="shared" si="1"/>
        <v>2</v>
      </c>
    </row>
    <row r="9">
      <c r="A9" s="27">
        <v>7.0</v>
      </c>
      <c r="B9" s="28" t="s">
        <v>25</v>
      </c>
      <c r="C9" s="29"/>
      <c r="D9" s="29"/>
      <c r="E9" s="29"/>
      <c r="F9" s="30" t="s">
        <v>9</v>
      </c>
      <c r="G9" s="32"/>
      <c r="H9" s="20">
        <f t="shared" si="1"/>
        <v>4</v>
      </c>
    </row>
    <row r="10">
      <c r="A10" s="21">
        <v>8.0</v>
      </c>
      <c r="B10" s="22" t="s">
        <v>26</v>
      </c>
      <c r="C10" s="23" t="s">
        <v>9</v>
      </c>
      <c r="D10" s="23"/>
      <c r="E10" s="24"/>
      <c r="F10" s="24"/>
      <c r="G10" s="25"/>
      <c r="H10" s="26">
        <f t="shared" si="1"/>
        <v>1</v>
      </c>
    </row>
    <row r="11">
      <c r="A11" s="27">
        <v>9.0</v>
      </c>
      <c r="B11" s="28" t="s">
        <v>27</v>
      </c>
      <c r="C11" s="29"/>
      <c r="D11" s="29"/>
      <c r="E11" s="29"/>
      <c r="F11" s="29"/>
      <c r="G11" s="31" t="s">
        <v>9</v>
      </c>
      <c r="H11" s="20">
        <f t="shared" si="1"/>
        <v>5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90</v>
      </c>
    </row>
    <row r="14">
      <c r="H14" s="41" t="str">
        <f>IF(H13&lt;25,"WORST IMAGINABLE",
IF(H13&lt;52,"POOR",
IF(H13&lt;74,"OK",
IF(H13&lt;81,"GOOD",
IF(H13&lt;85,"EXCELLENT",
"BEST IMAGINABLE")))))</f>
        <v>BEST IMAGINABLE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5"/>
    <col customWidth="1" min="10" max="10" width="28.25"/>
    <col customWidth="1" min="11" max="11" width="40.13"/>
  </cols>
  <sheetData>
    <row r="1">
      <c r="A1" s="42" t="s">
        <v>80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45"/>
      <c r="J1" s="7" t="s">
        <v>4</v>
      </c>
    </row>
    <row r="2">
      <c r="A2" s="43" t="s">
        <v>59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81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7"/>
      <c r="F3" s="18" t="s">
        <v>9</v>
      </c>
      <c r="G3" s="19"/>
      <c r="H3" s="20">
        <f t="shared" ref="H3:H12" si="1">MATCH("X",C3:G3,0)</f>
        <v>4</v>
      </c>
      <c r="J3" s="13" t="s">
        <v>82</v>
      </c>
      <c r="K3" s="14" t="s">
        <v>11</v>
      </c>
    </row>
    <row r="4">
      <c r="A4" s="21">
        <v>2.0</v>
      </c>
      <c r="B4" s="22" t="s">
        <v>12</v>
      </c>
      <c r="C4" s="24"/>
      <c r="D4" s="23" t="s">
        <v>9</v>
      </c>
      <c r="E4" s="23"/>
      <c r="F4" s="24"/>
      <c r="G4" s="25"/>
      <c r="H4" s="26">
        <f t="shared" si="1"/>
        <v>2</v>
      </c>
      <c r="J4" s="13" t="s">
        <v>83</v>
      </c>
      <c r="K4" s="14" t="s">
        <v>14</v>
      </c>
    </row>
    <row r="5">
      <c r="A5" s="27">
        <v>3.0</v>
      </c>
      <c r="B5" s="28" t="s">
        <v>15</v>
      </c>
      <c r="C5" s="29"/>
      <c r="D5" s="30"/>
      <c r="E5" s="29"/>
      <c r="F5" s="30" t="s">
        <v>9</v>
      </c>
      <c r="G5" s="31"/>
      <c r="H5" s="20">
        <f t="shared" si="1"/>
        <v>4</v>
      </c>
      <c r="J5" s="13" t="s">
        <v>84</v>
      </c>
      <c r="K5" s="14" t="s">
        <v>17</v>
      </c>
    </row>
    <row r="6">
      <c r="A6" s="21">
        <v>4.0</v>
      </c>
      <c r="B6" s="22" t="s">
        <v>18</v>
      </c>
      <c r="C6" s="23"/>
      <c r="D6" s="23" t="s">
        <v>9</v>
      </c>
      <c r="E6" s="24"/>
      <c r="F6" s="24"/>
      <c r="G6" s="25"/>
      <c r="H6" s="26">
        <f t="shared" si="1"/>
        <v>2</v>
      </c>
      <c r="J6" s="13" t="s">
        <v>85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/>
      <c r="F7" s="30" t="s">
        <v>9</v>
      </c>
      <c r="G7" s="32"/>
      <c r="H7" s="20">
        <f t="shared" si="1"/>
        <v>4</v>
      </c>
      <c r="J7" s="13" t="s">
        <v>86</v>
      </c>
      <c r="K7" s="14" t="s">
        <v>23</v>
      </c>
    </row>
    <row r="8">
      <c r="A8" s="21">
        <v>6.0</v>
      </c>
      <c r="B8" s="22" t="s">
        <v>24</v>
      </c>
      <c r="C8" s="24"/>
      <c r="D8" s="23" t="s">
        <v>9</v>
      </c>
      <c r="E8" s="24"/>
      <c r="F8" s="24"/>
      <c r="G8" s="25"/>
      <c r="H8" s="26">
        <f t="shared" si="1"/>
        <v>2</v>
      </c>
    </row>
    <row r="9">
      <c r="A9" s="27">
        <v>7.0</v>
      </c>
      <c r="B9" s="28" t="s">
        <v>25</v>
      </c>
      <c r="C9" s="29"/>
      <c r="D9" s="29"/>
      <c r="E9" s="29"/>
      <c r="F9" s="30"/>
      <c r="G9" s="31" t="s">
        <v>9</v>
      </c>
      <c r="H9" s="20">
        <f t="shared" si="1"/>
        <v>5</v>
      </c>
    </row>
    <row r="10">
      <c r="A10" s="21">
        <v>8.0</v>
      </c>
      <c r="B10" s="22" t="s">
        <v>26</v>
      </c>
      <c r="C10" s="23"/>
      <c r="D10" s="23" t="s">
        <v>9</v>
      </c>
      <c r="E10" s="24"/>
      <c r="F10" s="24"/>
      <c r="G10" s="25"/>
      <c r="H10" s="26">
        <f t="shared" si="1"/>
        <v>2</v>
      </c>
    </row>
    <row r="11">
      <c r="A11" s="27">
        <v>9.0</v>
      </c>
      <c r="B11" s="28" t="s">
        <v>27</v>
      </c>
      <c r="C11" s="29"/>
      <c r="D11" s="29"/>
      <c r="E11" s="29"/>
      <c r="F11" s="30" t="s">
        <v>9</v>
      </c>
      <c r="G11" s="31"/>
      <c r="H11" s="20">
        <f t="shared" si="1"/>
        <v>4</v>
      </c>
    </row>
    <row r="12">
      <c r="A12" s="33">
        <v>10.0</v>
      </c>
      <c r="B12" s="34" t="s">
        <v>28</v>
      </c>
      <c r="C12" s="35"/>
      <c r="D12" s="35" t="s">
        <v>9</v>
      </c>
      <c r="E12" s="36"/>
      <c r="F12" s="36"/>
      <c r="G12" s="37"/>
      <c r="H12" s="38">
        <f t="shared" si="1"/>
        <v>2</v>
      </c>
    </row>
    <row r="13">
      <c r="A13" s="39" t="s">
        <v>29</v>
      </c>
      <c r="H13" s="40">
        <f>((H3-1)+(5-H4)+(H5-1)+(5-H6)+(H7-1)+(5-H8)+(H9-1)+(5-H10)+(H11-1)+(5-H12))*2.5</f>
        <v>77.5</v>
      </c>
    </row>
    <row r="14">
      <c r="H14" s="41" t="str">
        <f>IF(H13&lt;25,"WORST IMAGINABLE",
IF(H13&lt;52,"POOR",
IF(H13&lt;74,"OK",
IF(H13&lt;81,"GOOD",
IF(H13&lt;85,"EXCELLENT",
"BEST IMAGINABLE")))))</f>
        <v>GOOD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4.75"/>
    <col customWidth="1" min="3" max="4" width="2.88"/>
    <col customWidth="1" min="5" max="5" width="3.38"/>
    <col customWidth="1" min="6" max="6" width="3.5"/>
    <col customWidth="1" min="7" max="7" width="3.25"/>
    <col customWidth="1" min="8" max="8" width="25.5"/>
    <col customWidth="1" min="10" max="10" width="28.25"/>
    <col customWidth="1" min="11" max="11" width="40.13"/>
  </cols>
  <sheetData>
    <row r="1">
      <c r="A1" s="42" t="s">
        <v>87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J1" s="7" t="s">
        <v>4</v>
      </c>
    </row>
    <row r="2">
      <c r="A2" s="43" t="s">
        <v>59</v>
      </c>
      <c r="B2" s="9"/>
      <c r="C2" s="10">
        <v>1.0</v>
      </c>
      <c r="D2" s="10">
        <v>2.0</v>
      </c>
      <c r="E2" s="10">
        <v>3.0</v>
      </c>
      <c r="F2" s="10">
        <v>4.0</v>
      </c>
      <c r="G2" s="11">
        <v>5.0</v>
      </c>
      <c r="H2" s="12"/>
      <c r="J2" s="13" t="s">
        <v>88</v>
      </c>
      <c r="K2" s="14" t="s">
        <v>7</v>
      </c>
    </row>
    <row r="3">
      <c r="A3" s="15">
        <v>1.0</v>
      </c>
      <c r="B3" s="16" t="s">
        <v>8</v>
      </c>
      <c r="C3" s="17"/>
      <c r="D3" s="17"/>
      <c r="E3" s="17"/>
      <c r="F3" s="18"/>
      <c r="G3" s="44" t="s">
        <v>9</v>
      </c>
      <c r="H3" s="20">
        <f t="shared" ref="H3:H12" si="1">MATCH("X",C3:G3,0)</f>
        <v>5</v>
      </c>
      <c r="J3" s="13" t="s">
        <v>89</v>
      </c>
      <c r="K3" s="14" t="s">
        <v>11</v>
      </c>
    </row>
    <row r="4">
      <c r="A4" s="21">
        <v>2.0</v>
      </c>
      <c r="B4" s="22" t="s">
        <v>12</v>
      </c>
      <c r="C4" s="23" t="s">
        <v>9</v>
      </c>
      <c r="D4" s="23"/>
      <c r="E4" s="24"/>
      <c r="F4" s="24"/>
      <c r="G4" s="25"/>
      <c r="H4" s="26">
        <f t="shared" si="1"/>
        <v>1</v>
      </c>
      <c r="J4" s="13" t="s">
        <v>90</v>
      </c>
      <c r="K4" s="14" t="s">
        <v>14</v>
      </c>
    </row>
    <row r="5">
      <c r="A5" s="27">
        <v>3.0</v>
      </c>
      <c r="B5" s="28" t="s">
        <v>15</v>
      </c>
      <c r="C5" s="29"/>
      <c r="D5" s="29"/>
      <c r="E5" s="29"/>
      <c r="F5" s="29"/>
      <c r="G5" s="31" t="s">
        <v>9</v>
      </c>
      <c r="H5" s="20">
        <f t="shared" si="1"/>
        <v>5</v>
      </c>
      <c r="J5" s="13" t="s">
        <v>91</v>
      </c>
      <c r="K5" s="14" t="s">
        <v>17</v>
      </c>
    </row>
    <row r="6">
      <c r="A6" s="21">
        <v>4.0</v>
      </c>
      <c r="B6" s="22" t="s">
        <v>18</v>
      </c>
      <c r="C6" s="23" t="s">
        <v>9</v>
      </c>
      <c r="D6" s="24"/>
      <c r="E6" s="24"/>
      <c r="F6" s="24"/>
      <c r="G6" s="25"/>
      <c r="H6" s="26">
        <f t="shared" si="1"/>
        <v>1</v>
      </c>
      <c r="J6" s="13" t="s">
        <v>92</v>
      </c>
      <c r="K6" s="14" t="s">
        <v>20</v>
      </c>
    </row>
    <row r="7">
      <c r="A7" s="27">
        <v>5.0</v>
      </c>
      <c r="B7" s="28" t="s">
        <v>21</v>
      </c>
      <c r="C7" s="29"/>
      <c r="D7" s="29"/>
      <c r="E7" s="30"/>
      <c r="F7" s="29"/>
      <c r="G7" s="31" t="s">
        <v>9</v>
      </c>
      <c r="H7" s="20">
        <f t="shared" si="1"/>
        <v>5</v>
      </c>
      <c r="J7" s="13" t="s">
        <v>93</v>
      </c>
      <c r="K7" s="14" t="s">
        <v>23</v>
      </c>
    </row>
    <row r="8">
      <c r="A8" s="21">
        <v>6.0</v>
      </c>
      <c r="B8" s="22" t="s">
        <v>24</v>
      </c>
      <c r="C8" s="23" t="s">
        <v>9</v>
      </c>
      <c r="D8" s="23"/>
      <c r="E8" s="24"/>
      <c r="F8" s="24"/>
      <c r="G8" s="25"/>
      <c r="H8" s="26">
        <f t="shared" si="1"/>
        <v>1</v>
      </c>
    </row>
    <row r="9">
      <c r="A9" s="27">
        <v>7.0</v>
      </c>
      <c r="B9" s="28" t="s">
        <v>25</v>
      </c>
      <c r="C9" s="29"/>
      <c r="D9" s="29"/>
      <c r="E9" s="29"/>
      <c r="F9" s="30" t="s">
        <v>9</v>
      </c>
      <c r="G9" s="32"/>
      <c r="H9" s="20">
        <f t="shared" si="1"/>
        <v>4</v>
      </c>
    </row>
    <row r="10">
      <c r="A10" s="21">
        <v>8.0</v>
      </c>
      <c r="B10" s="22" t="s">
        <v>26</v>
      </c>
      <c r="C10" s="23" t="s">
        <v>9</v>
      </c>
      <c r="D10" s="24"/>
      <c r="E10" s="24"/>
      <c r="F10" s="24"/>
      <c r="G10" s="25"/>
      <c r="H10" s="26">
        <f t="shared" si="1"/>
        <v>1</v>
      </c>
    </row>
    <row r="11">
      <c r="A11" s="27">
        <v>9.0</v>
      </c>
      <c r="B11" s="28" t="s">
        <v>27</v>
      </c>
      <c r="C11" s="29"/>
      <c r="D11" s="29"/>
      <c r="E11" s="29"/>
      <c r="F11" s="29"/>
      <c r="G11" s="31" t="s">
        <v>9</v>
      </c>
      <c r="H11" s="20">
        <f t="shared" si="1"/>
        <v>5</v>
      </c>
    </row>
    <row r="12">
      <c r="A12" s="33">
        <v>10.0</v>
      </c>
      <c r="B12" s="34" t="s">
        <v>28</v>
      </c>
      <c r="C12" s="35" t="s">
        <v>9</v>
      </c>
      <c r="D12" s="36"/>
      <c r="E12" s="36"/>
      <c r="F12" s="36"/>
      <c r="G12" s="37"/>
      <c r="H12" s="38">
        <f t="shared" si="1"/>
        <v>1</v>
      </c>
    </row>
    <row r="13">
      <c r="A13" s="39" t="s">
        <v>29</v>
      </c>
      <c r="H13" s="40">
        <f>((H3-1)+(5-H4)+(H5-1)+(5-H6)+(H7-1)+(5-H8)+(H9-1)+(5-H10)+(H11-1)+(5-H12))*2.5</f>
        <v>97.5</v>
      </c>
    </row>
    <row r="14">
      <c r="H14" s="41" t="str">
        <f>IF(H13&lt;25,"WORST IMAGINABLE",
IF(H13&lt;52,"POOR",
IF(H13&lt;74,"OK",
IF(H13&lt;81,"GOOD",
IF(H13&lt;85,"EXCELLENT",
"BEST IMAGINABLE")))))</f>
        <v>BEST IMAGINABLE</v>
      </c>
    </row>
  </sheetData>
  <mergeCells count="5">
    <mergeCell ref="B1:B2"/>
    <mergeCell ref="C1:G1"/>
    <mergeCell ref="H1:H2"/>
    <mergeCell ref="J1:K1"/>
    <mergeCell ref="A13:G1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75"/>
    <col customWidth="1" min="3" max="3" width="22.0"/>
    <col customWidth="1" min="4" max="4" width="20.25"/>
    <col customWidth="1" min="5" max="5" width="23.38"/>
    <col customWidth="1" min="6" max="6" width="24.75"/>
    <col customWidth="1" min="8" max="8" width="28.25"/>
    <col customWidth="1" min="9" max="9" width="40.13"/>
  </cols>
  <sheetData>
    <row r="1">
      <c r="A1" s="46" t="s">
        <v>94</v>
      </c>
      <c r="B1" s="47" t="s">
        <v>95</v>
      </c>
      <c r="C1" s="48" t="s">
        <v>29</v>
      </c>
      <c r="D1" s="49" t="s">
        <v>96</v>
      </c>
      <c r="E1" s="50" t="s">
        <v>97</v>
      </c>
      <c r="F1" s="51" t="s">
        <v>98</v>
      </c>
      <c r="G1" s="52"/>
      <c r="H1" s="7" t="s">
        <v>4</v>
      </c>
    </row>
    <row r="2">
      <c r="A2" s="53" t="s">
        <v>99</v>
      </c>
      <c r="B2" s="54" t="s">
        <v>0</v>
      </c>
      <c r="C2" s="55">
        <f>'P01'!H13</f>
        <v>80</v>
      </c>
      <c r="D2" s="56" t="str">
        <f>'P01'!H14</f>
        <v>GOOD</v>
      </c>
      <c r="E2" s="57">
        <f>AVERAGE(C2:C6)</f>
        <v>79.5</v>
      </c>
      <c r="F2" s="58" t="str">
        <f>IF(E2&lt;25,"WORST IMAGINABLE",
IF(E2&lt;52,"POOR",
IF(E2&lt;74,"OK",
IF(E2&lt;81,"GOOD",
IF(E2&lt;85,"EXCELLENT",
"BEST IMAGINABLE")))))</f>
        <v>GOOD</v>
      </c>
      <c r="H2" s="13" t="s">
        <v>100</v>
      </c>
      <c r="I2" s="14" t="s">
        <v>7</v>
      </c>
    </row>
    <row r="3">
      <c r="A3" s="59"/>
      <c r="B3" s="60" t="s">
        <v>30</v>
      </c>
      <c r="C3" s="61">
        <f>'P02'!H13</f>
        <v>85</v>
      </c>
      <c r="D3" s="62" t="str">
        <f>'P02'!H14</f>
        <v>BEST IMAGINABLE</v>
      </c>
      <c r="E3" s="63"/>
      <c r="H3" s="13" t="s">
        <v>101</v>
      </c>
      <c r="I3" s="14" t="s">
        <v>11</v>
      </c>
    </row>
    <row r="4">
      <c r="A4" s="59"/>
      <c r="B4" s="60" t="s">
        <v>37</v>
      </c>
      <c r="C4" s="64">
        <f>'P03'!H13</f>
        <v>65</v>
      </c>
      <c r="D4" s="62" t="str">
        <f>'P03'!H14</f>
        <v>OK</v>
      </c>
      <c r="E4" s="63"/>
      <c r="H4" s="13" t="s">
        <v>102</v>
      </c>
      <c r="I4" s="14" t="s">
        <v>14</v>
      </c>
    </row>
    <row r="5">
      <c r="A5" s="59"/>
      <c r="B5" s="60" t="s">
        <v>44</v>
      </c>
      <c r="C5" s="61">
        <f>'P04'!H13</f>
        <v>90</v>
      </c>
      <c r="D5" s="62" t="str">
        <f>'P04'!H14</f>
        <v>BEST IMAGINABLE</v>
      </c>
      <c r="E5" s="63"/>
      <c r="H5" s="13" t="s">
        <v>103</v>
      </c>
      <c r="I5" s="14" t="s">
        <v>17</v>
      </c>
    </row>
    <row r="6">
      <c r="A6" s="65"/>
      <c r="B6" s="66" t="s">
        <v>51</v>
      </c>
      <c r="C6" s="67">
        <f>'P05'!H13</f>
        <v>77.5</v>
      </c>
      <c r="D6" s="68" t="str">
        <f>'P05'!H14</f>
        <v>GOOD</v>
      </c>
      <c r="E6" s="69"/>
      <c r="F6" s="70"/>
      <c r="H6" s="13" t="s">
        <v>104</v>
      </c>
      <c r="I6" s="14" t="s">
        <v>20</v>
      </c>
    </row>
    <row r="7">
      <c r="A7" s="71" t="s">
        <v>105</v>
      </c>
      <c r="B7" s="72" t="s">
        <v>58</v>
      </c>
      <c r="C7" s="73">
        <f>'P06'!H13</f>
        <v>92.5</v>
      </c>
      <c r="D7" s="74" t="str">
        <f>'P06'!H14</f>
        <v>BEST IMAGINABLE</v>
      </c>
      <c r="E7" s="75">
        <f>AVERAGE(C7:C11)</f>
        <v>88.5</v>
      </c>
      <c r="F7" s="76" t="str">
        <f>IF(E7&lt;25,"WORST IMAGINABLE",
IF(E7&lt;52,"POOR",
IF(E7&lt;74,"OK",
IF(E7&lt;81,"GOOD",
IF(E7&lt;85,"EXCELLENT",
"BEST IMAGINABLE")))))</f>
        <v>BEST IMAGINABLE</v>
      </c>
      <c r="H7" s="13" t="s">
        <v>106</v>
      </c>
      <c r="I7" s="14" t="s">
        <v>23</v>
      </c>
    </row>
    <row r="8">
      <c r="A8" s="77"/>
      <c r="B8" s="78" t="s">
        <v>66</v>
      </c>
      <c r="C8" s="79">
        <f>'P07'!H13</f>
        <v>85</v>
      </c>
      <c r="D8" s="80" t="str">
        <f>'P07'!H14</f>
        <v>BEST IMAGINABLE</v>
      </c>
      <c r="E8" s="81"/>
    </row>
    <row r="9">
      <c r="A9" s="77"/>
      <c r="B9" s="78" t="s">
        <v>73</v>
      </c>
      <c r="C9" s="82">
        <f>'P08'!H13</f>
        <v>90</v>
      </c>
      <c r="D9" s="80" t="str">
        <f>'P08'!H14</f>
        <v>BEST IMAGINABLE</v>
      </c>
      <c r="E9" s="81"/>
    </row>
    <row r="10">
      <c r="A10" s="77"/>
      <c r="B10" s="78" t="s">
        <v>80</v>
      </c>
      <c r="C10" s="79">
        <f>'P09'!H13</f>
        <v>77.5</v>
      </c>
      <c r="D10" s="80" t="str">
        <f>'P09'!H14</f>
        <v>GOOD</v>
      </c>
      <c r="E10" s="81"/>
    </row>
    <row r="11">
      <c r="A11" s="83"/>
      <c r="B11" s="84" t="s">
        <v>87</v>
      </c>
      <c r="C11" s="85">
        <f>'P10'!H13</f>
        <v>97.5</v>
      </c>
      <c r="D11" s="86" t="str">
        <f>'P10'!H14</f>
        <v>BEST IMAGINABLE</v>
      </c>
      <c r="E11" s="81"/>
    </row>
  </sheetData>
  <mergeCells count="7">
    <mergeCell ref="H1:I1"/>
    <mergeCell ref="A2:A6"/>
    <mergeCell ref="E2:E6"/>
    <mergeCell ref="F2:F6"/>
    <mergeCell ref="A7:A11"/>
    <mergeCell ref="E7:E11"/>
    <mergeCell ref="F7:F1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107</v>
      </c>
      <c r="B1" s="87" t="s">
        <v>108</v>
      </c>
      <c r="C1" s="87" t="s">
        <v>109</v>
      </c>
      <c r="D1" s="87" t="s">
        <v>110</v>
      </c>
      <c r="E1" s="87" t="s">
        <v>111</v>
      </c>
      <c r="F1" s="87" t="s">
        <v>112</v>
      </c>
      <c r="G1" s="87" t="s">
        <v>113</v>
      </c>
      <c r="H1" s="87" t="s">
        <v>114</v>
      </c>
      <c r="I1" s="87" t="s">
        <v>115</v>
      </c>
      <c r="J1" s="87" t="s">
        <v>116</v>
      </c>
      <c r="K1" s="87" t="s">
        <v>117</v>
      </c>
    </row>
    <row r="2">
      <c r="A2" s="87">
        <f t="shared" ref="A2:J2" si="1">INDEX(INDIRECT("'P"&amp;TEXT(ROW(A1),"00")&amp;"'!$H$3:$H$12"),COLUMN(A1))</f>
        <v>3</v>
      </c>
      <c r="B2" s="87">
        <f t="shared" si="1"/>
        <v>1</v>
      </c>
      <c r="C2" s="87">
        <f t="shared" si="1"/>
        <v>4</v>
      </c>
      <c r="D2" s="87">
        <f t="shared" si="1"/>
        <v>1</v>
      </c>
      <c r="E2" s="87">
        <f t="shared" si="1"/>
        <v>4</v>
      </c>
      <c r="F2" s="87">
        <f t="shared" si="1"/>
        <v>2</v>
      </c>
      <c r="G2" s="87">
        <f t="shared" si="1"/>
        <v>4</v>
      </c>
      <c r="H2" s="87">
        <f t="shared" si="1"/>
        <v>2</v>
      </c>
      <c r="I2" s="87">
        <f t="shared" si="1"/>
        <v>4</v>
      </c>
      <c r="J2" s="87">
        <f t="shared" si="1"/>
        <v>1</v>
      </c>
      <c r="K2" s="87" t="s">
        <v>118</v>
      </c>
    </row>
    <row r="3">
      <c r="A3" s="87">
        <f t="shared" ref="A3:J3" si="2">INDEX(INDIRECT("'P"&amp;TEXT(ROW(A2),"00")&amp;"'!$H$3:$H$12"),COLUMN(A2))</f>
        <v>4</v>
      </c>
      <c r="B3" s="87">
        <f t="shared" si="2"/>
        <v>2</v>
      </c>
      <c r="C3" s="87">
        <f t="shared" si="2"/>
        <v>5</v>
      </c>
      <c r="D3" s="87">
        <f t="shared" si="2"/>
        <v>1</v>
      </c>
      <c r="E3" s="87">
        <f t="shared" si="2"/>
        <v>4</v>
      </c>
      <c r="F3" s="87">
        <f t="shared" si="2"/>
        <v>2</v>
      </c>
      <c r="G3" s="87">
        <f t="shared" si="2"/>
        <v>4</v>
      </c>
      <c r="H3" s="87">
        <f t="shared" si="2"/>
        <v>1</v>
      </c>
      <c r="I3" s="87">
        <f t="shared" si="2"/>
        <v>4</v>
      </c>
      <c r="J3" s="87">
        <f t="shared" si="2"/>
        <v>1</v>
      </c>
      <c r="K3" s="87" t="s">
        <v>118</v>
      </c>
    </row>
    <row r="4">
      <c r="A4" s="87">
        <f t="shared" ref="A4:J4" si="3">INDEX(INDIRECT("'P"&amp;TEXT(ROW(A3),"00")&amp;"'!$H$3:$H$12"),COLUMN(A3))</f>
        <v>2</v>
      </c>
      <c r="B4" s="87">
        <f t="shared" si="3"/>
        <v>3</v>
      </c>
      <c r="C4" s="87">
        <f t="shared" si="3"/>
        <v>3</v>
      </c>
      <c r="D4" s="87">
        <f t="shared" si="3"/>
        <v>1</v>
      </c>
      <c r="E4" s="87">
        <f t="shared" si="3"/>
        <v>3</v>
      </c>
      <c r="F4" s="87">
        <f t="shared" si="3"/>
        <v>4</v>
      </c>
      <c r="G4" s="87">
        <f t="shared" si="3"/>
        <v>3</v>
      </c>
      <c r="H4" s="87">
        <f t="shared" si="3"/>
        <v>1</v>
      </c>
      <c r="I4" s="87">
        <f t="shared" si="3"/>
        <v>5</v>
      </c>
      <c r="J4" s="87">
        <f t="shared" si="3"/>
        <v>1</v>
      </c>
      <c r="K4" s="87" t="s">
        <v>118</v>
      </c>
    </row>
    <row r="5">
      <c r="A5" s="87">
        <f t="shared" ref="A5:J5" si="4">INDEX(INDIRECT("'P"&amp;TEXT(ROW(A4),"00")&amp;"'!$H$3:$H$12"),COLUMN(A4))</f>
        <v>4</v>
      </c>
      <c r="B5" s="87">
        <f t="shared" si="4"/>
        <v>1</v>
      </c>
      <c r="C5" s="87">
        <f t="shared" si="4"/>
        <v>5</v>
      </c>
      <c r="D5" s="87">
        <f t="shared" si="4"/>
        <v>1</v>
      </c>
      <c r="E5" s="87">
        <f t="shared" si="4"/>
        <v>5</v>
      </c>
      <c r="F5" s="87">
        <f t="shared" si="4"/>
        <v>2</v>
      </c>
      <c r="G5" s="87">
        <f t="shared" si="4"/>
        <v>4</v>
      </c>
      <c r="H5" s="87">
        <f t="shared" si="4"/>
        <v>2</v>
      </c>
      <c r="I5" s="87">
        <f t="shared" si="4"/>
        <v>5</v>
      </c>
      <c r="J5" s="87">
        <f t="shared" si="4"/>
        <v>1</v>
      </c>
      <c r="K5" s="87" t="s">
        <v>118</v>
      </c>
    </row>
    <row r="6">
      <c r="A6" s="87">
        <f t="shared" ref="A6:J6" si="5">INDEX(INDIRECT("'P"&amp;TEXT(ROW(A5),"00")&amp;"'!$H$3:$H$12"),COLUMN(A5))</f>
        <v>4</v>
      </c>
      <c r="B6" s="87">
        <f t="shared" si="5"/>
        <v>2</v>
      </c>
      <c r="C6" s="87">
        <f t="shared" si="5"/>
        <v>5</v>
      </c>
      <c r="D6" s="87">
        <f t="shared" si="5"/>
        <v>1</v>
      </c>
      <c r="E6" s="87">
        <f t="shared" si="5"/>
        <v>2</v>
      </c>
      <c r="F6" s="87">
        <f t="shared" si="5"/>
        <v>3</v>
      </c>
      <c r="G6" s="87">
        <f t="shared" si="5"/>
        <v>4</v>
      </c>
      <c r="H6" s="87">
        <f t="shared" si="5"/>
        <v>2</v>
      </c>
      <c r="I6" s="87">
        <f t="shared" si="5"/>
        <v>5</v>
      </c>
      <c r="J6" s="87">
        <f t="shared" si="5"/>
        <v>1</v>
      </c>
      <c r="K6" s="87" t="s">
        <v>118</v>
      </c>
    </row>
    <row r="7">
      <c r="A7" s="87">
        <f t="shared" ref="A7:J7" si="6">INDEX(INDIRECT("'P"&amp;TEXT(ROW(A6),"00")&amp;"'!$H$3:$H$12"),COLUMN(A6))</f>
        <v>4</v>
      </c>
      <c r="B7" s="87">
        <f t="shared" si="6"/>
        <v>1</v>
      </c>
      <c r="C7" s="87">
        <f t="shared" si="6"/>
        <v>5</v>
      </c>
      <c r="D7" s="87">
        <f t="shared" si="6"/>
        <v>1</v>
      </c>
      <c r="E7" s="87">
        <f t="shared" si="6"/>
        <v>4</v>
      </c>
      <c r="F7" s="87">
        <f t="shared" si="6"/>
        <v>1</v>
      </c>
      <c r="G7" s="87">
        <f t="shared" si="6"/>
        <v>5</v>
      </c>
      <c r="H7" s="87">
        <f t="shared" si="6"/>
        <v>2</v>
      </c>
      <c r="I7" s="87">
        <f t="shared" si="6"/>
        <v>5</v>
      </c>
      <c r="J7" s="87">
        <f t="shared" si="6"/>
        <v>1</v>
      </c>
      <c r="K7" s="87" t="s">
        <v>119</v>
      </c>
    </row>
    <row r="8">
      <c r="A8" s="87">
        <f t="shared" ref="A8:J8" si="7">INDEX(INDIRECT("'P"&amp;TEXT(ROW(A7),"00")&amp;"'!$H$3:$H$12"),COLUMN(A7))</f>
        <v>4</v>
      </c>
      <c r="B8" s="87">
        <f t="shared" si="7"/>
        <v>2</v>
      </c>
      <c r="C8" s="87">
        <f t="shared" si="7"/>
        <v>5</v>
      </c>
      <c r="D8" s="87">
        <f t="shared" si="7"/>
        <v>1</v>
      </c>
      <c r="E8" s="87">
        <f t="shared" si="7"/>
        <v>3</v>
      </c>
      <c r="F8" s="87">
        <f t="shared" si="7"/>
        <v>2</v>
      </c>
      <c r="G8" s="87">
        <f t="shared" si="7"/>
        <v>4</v>
      </c>
      <c r="H8" s="87">
        <f t="shared" si="7"/>
        <v>1</v>
      </c>
      <c r="I8" s="87">
        <f t="shared" si="7"/>
        <v>5</v>
      </c>
      <c r="J8" s="87">
        <f t="shared" si="7"/>
        <v>1</v>
      </c>
      <c r="K8" s="87" t="s">
        <v>119</v>
      </c>
    </row>
    <row r="9">
      <c r="A9" s="87">
        <f t="shared" ref="A9:J9" si="8">INDEX(INDIRECT("'P"&amp;TEXT(ROW(A8),"00")&amp;"'!$H$3:$H$12"),COLUMN(A8))</f>
        <v>5</v>
      </c>
      <c r="B9" s="87">
        <f t="shared" si="8"/>
        <v>1</v>
      </c>
      <c r="C9" s="87">
        <f t="shared" si="8"/>
        <v>4</v>
      </c>
      <c r="D9" s="87">
        <f t="shared" si="8"/>
        <v>1</v>
      </c>
      <c r="E9" s="87">
        <f t="shared" si="8"/>
        <v>4</v>
      </c>
      <c r="F9" s="87">
        <f t="shared" si="8"/>
        <v>2</v>
      </c>
      <c r="G9" s="87">
        <f t="shared" si="8"/>
        <v>4</v>
      </c>
      <c r="H9" s="87">
        <f t="shared" si="8"/>
        <v>1</v>
      </c>
      <c r="I9" s="87">
        <f t="shared" si="8"/>
        <v>5</v>
      </c>
      <c r="J9" s="87">
        <f t="shared" si="8"/>
        <v>1</v>
      </c>
      <c r="K9" s="87" t="s">
        <v>119</v>
      </c>
    </row>
    <row r="10">
      <c r="A10" s="87">
        <f t="shared" ref="A10:J10" si="9">INDEX(INDIRECT("'P"&amp;TEXT(ROW(A9),"00")&amp;"'!$H$3:$H$12"),COLUMN(A9))</f>
        <v>4</v>
      </c>
      <c r="B10" s="87">
        <f t="shared" si="9"/>
        <v>2</v>
      </c>
      <c r="C10" s="87">
        <f t="shared" si="9"/>
        <v>4</v>
      </c>
      <c r="D10" s="87">
        <f t="shared" si="9"/>
        <v>2</v>
      </c>
      <c r="E10" s="87">
        <f t="shared" si="9"/>
        <v>4</v>
      </c>
      <c r="F10" s="87">
        <f t="shared" si="9"/>
        <v>2</v>
      </c>
      <c r="G10" s="87">
        <f t="shared" si="9"/>
        <v>5</v>
      </c>
      <c r="H10" s="87">
        <f t="shared" si="9"/>
        <v>2</v>
      </c>
      <c r="I10" s="87">
        <f t="shared" si="9"/>
        <v>4</v>
      </c>
      <c r="J10" s="87">
        <f t="shared" si="9"/>
        <v>2</v>
      </c>
      <c r="K10" s="87" t="s">
        <v>119</v>
      </c>
    </row>
    <row r="11">
      <c r="A11" s="87">
        <f t="shared" ref="A11:J11" si="10">INDEX(INDIRECT("'P"&amp;TEXT(ROW(A10),"00")&amp;"'!$H$3:$H$12"),COLUMN(A10))</f>
        <v>5</v>
      </c>
      <c r="B11" s="87">
        <f t="shared" si="10"/>
        <v>1</v>
      </c>
      <c r="C11" s="87">
        <f t="shared" si="10"/>
        <v>5</v>
      </c>
      <c r="D11" s="87">
        <f t="shared" si="10"/>
        <v>1</v>
      </c>
      <c r="E11" s="87">
        <f t="shared" si="10"/>
        <v>5</v>
      </c>
      <c r="F11" s="87">
        <f t="shared" si="10"/>
        <v>1</v>
      </c>
      <c r="G11" s="87">
        <f t="shared" si="10"/>
        <v>4</v>
      </c>
      <c r="H11" s="87">
        <f t="shared" si="10"/>
        <v>1</v>
      </c>
      <c r="I11" s="87">
        <f t="shared" si="10"/>
        <v>5</v>
      </c>
      <c r="J11" s="87">
        <f t="shared" si="10"/>
        <v>1</v>
      </c>
      <c r="K11" s="87" t="s">
        <v>119</v>
      </c>
    </row>
  </sheetData>
  <drawing r:id="rId1"/>
</worksheet>
</file>